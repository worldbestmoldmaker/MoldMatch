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E7C08161-0EC1-4DA3-99D4-994F5A3B8E52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48" i="2"/>
  <c r="E249" i="2"/>
  <c r="E250" i="2"/>
  <c r="E251" i="2"/>
  <c r="E252" i="2"/>
  <c r="E175" i="2"/>
  <c r="E176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43" i="2"/>
  <c r="E144" i="2"/>
  <c r="Q144" i="2"/>
  <c r="E142" i="2"/>
  <c r="E129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Q86" i="1"/>
  <c r="Q85" i="1"/>
  <c r="E94" i="2" l="1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Q67" i="2"/>
  <c r="Q68" i="2"/>
  <c r="Q69" i="2"/>
  <c r="Q70" i="2"/>
  <c r="Q71" i="2"/>
  <c r="Q72" i="2"/>
  <c r="Q73" i="2"/>
  <c r="Q74" i="2"/>
  <c r="Q75" i="2"/>
  <c r="Q77" i="1"/>
  <c r="Q78" i="1"/>
  <c r="Q76" i="1"/>
  <c r="Q74" i="1"/>
  <c r="Q75" i="1"/>
  <c r="Q73" i="1"/>
  <c r="Q71" i="1"/>
  <c r="Q72" i="1"/>
  <c r="Q70" i="1"/>
  <c r="Q69" i="1"/>
  <c r="Q68" i="1"/>
  <c r="Q55" i="1"/>
  <c r="Q56" i="1"/>
  <c r="Q57" i="1"/>
  <c r="Q58" i="1"/>
  <c r="Q59" i="1"/>
  <c r="Q60" i="1"/>
  <c r="Q61" i="1"/>
  <c r="Q62" i="1"/>
  <c r="Q63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32" i="1"/>
  <c r="Q3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4" i="1"/>
  <c r="W106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E28" i="1"/>
  <c r="E29" i="1"/>
  <c r="E30" i="1"/>
  <c r="E31" i="1"/>
  <c r="E32" i="1"/>
  <c r="E33" i="1"/>
  <c r="E105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G167" i="1"/>
  <c r="G166" i="1"/>
  <c r="G165" i="1"/>
  <c r="G164" i="1"/>
</calcChain>
</file>

<file path=xl/sharedStrings.xml><?xml version="1.0" encoding="utf-8"?>
<sst xmlns="http://schemas.openxmlformats.org/spreadsheetml/2006/main" count="1629" uniqueCount="607">
  <si>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</si>
  <si>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</si>
  <si>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</si>
  <si>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</si>
  <si>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</si>
  <si>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</si>
  <si>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</si>
  <si>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</si>
  <si>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</si>
  <si>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</si>
  <si>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</si>
  <si>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</si>
  <si>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</si>
  <si>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</si>
  <si>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</si>
  <si>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</si>
  <si>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</si>
  <si>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</si>
  <si>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</si>
  <si>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</si>
  <si>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</si>
  <si>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</si>
  <si>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</si>
  <si>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</si>
  <si>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</si>
  <si>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</si>
  <si>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</si>
  <si>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</si>
  <si>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</si>
  <si>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</si>
  <si>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</si>
  <si>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</si>
  <si>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</si>
  <si>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</si>
  <si>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Compact machine</t>
  </si>
  <si>
    <t>320 S 500-60</t>
  </si>
  <si>
    <t>Small standard</t>
  </si>
  <si>
    <t>320 S 500-150</t>
  </si>
  <si>
    <t>Flexible unit</t>
  </si>
  <si>
    <t>Mid-size</t>
  </si>
  <si>
    <t>Mid-large</t>
  </si>
  <si>
    <t>Larger mid range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</si>
  <si>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</si>
  <si>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</si>
  <si>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</si>
  <si>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</si>
  <si>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</si>
  <si>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</si>
  <si>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</si>
  <si>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</si>
  <si>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</si>
  <si>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</si>
  <si>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</si>
  <si>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</si>
  <si>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</si>
  <si>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</si>
  <si>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</si>
  <si>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</si>
  <si>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</si>
  <si>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</si>
  <si>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</si>
  <si>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</si>
  <si>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</si>
  <si>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</si>
  <si>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</si>
  <si>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</si>
  <si>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</si>
  <si>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</si>
  <si>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</si>
  <si>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</si>
  <si>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</si>
  <si>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</si>
  <si>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</si>
  <si>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</si>
  <si>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</si>
  <si>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</si>
  <si>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</si>
  <si>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</si>
  <si>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</si>
  <si>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</si>
  <si>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</si>
  <si>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</si>
  <si>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</si>
  <si>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</si>
  <si>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</si>
  <si>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</si>
  <si>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</si>
  <si>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</si>
  <si>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</si>
  <si>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</si>
  <si>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</si>
  <si>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</si>
  <si>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</si>
  <si>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</si>
  <si>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</si>
  <si>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</si>
  <si>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</si>
  <si>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</si>
  <si>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</si>
  <si>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</si>
  <si>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</si>
  <si>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</si>
  <si>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</si>
  <si>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</si>
  <si>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</si>
  <si>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</si>
  <si>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</si>
  <si>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</si>
  <si>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</si>
  <si>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</si>
  <si>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</si>
  <si>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</si>
  <si>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</si>
  <si>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</si>
  <si>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</si>
  <si>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</si>
  <si>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</si>
  <si>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</si>
  <si>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</si>
  <si>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</si>
  <si>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</si>
  <si>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</si>
  <si>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</si>
  <si>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</si>
  <si>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</si>
  <si>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</si>
  <si>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</si>
  <si>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</si>
  <si>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</si>
  <si>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</si>
  <si>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</si>
  <si>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</si>
  <si>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</si>
  <si>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</si>
  <si>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</si>
  <si>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</si>
  <si>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</si>
  <si>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</si>
  <si>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</si>
  <si>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</si>
  <si>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</si>
  <si>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</si>
  <si>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</si>
  <si>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</si>
  <si>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</si>
  <si>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</si>
  <si>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</si>
  <si>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</si>
  <si>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</si>
  <si>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</si>
  <si>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</si>
  <si>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</si>
  <si>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</si>
  <si>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</si>
  <si>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</si>
  <si>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</si>
  <si>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</si>
  <si>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</si>
  <si>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</si>
  <si>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</si>
  <si>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</si>
  <si>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</si>
  <si>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</si>
  <si>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</si>
  <si>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</si>
  <si>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</si>
  <si>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</si>
  <si>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</si>
  <si>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</si>
  <si>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</si>
  <si>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</si>
  <si>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</si>
  <si>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</si>
  <si>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</si>
  <si>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</si>
  <si>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</si>
  <si>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</si>
  <si>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</si>
  <si>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</si>
  <si>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</si>
  <si>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</si>
  <si>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</si>
  <si>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</si>
  <si>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</si>
  <si>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</si>
  <si>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</si>
  <si>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</si>
  <si>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</si>
  <si>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</si>
  <si>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</si>
  <si>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</si>
  <si>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</si>
  <si>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</si>
  <si>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</si>
  <si>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</si>
  <si>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</si>
  <si>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</si>
  <si>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</si>
  <si>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</si>
  <si>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</si>
  <si>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</si>
  <si>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</si>
  <si>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</si>
  <si>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</si>
  <si>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</si>
  <si>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</si>
  <si>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</si>
  <si>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</si>
  <si>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</si>
  <si>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</si>
  <si>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</si>
  <si>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</si>
  <si>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</si>
  <si>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</si>
  <si>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</si>
  <si>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</si>
  <si>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</si>
  <si>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</si>
  <si>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</si>
  <si>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</si>
  <si>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</si>
  <si>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</si>
  <si>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</si>
  <si>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</si>
  <si>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</si>
  <si>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</si>
  <si>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</si>
  <si>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</si>
  <si>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</si>
  <si>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</si>
  <si>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</si>
  <si>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</si>
  <si>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</si>
  <si>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</si>
  <si>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</si>
  <si>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</si>
  <si>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</si>
  <si>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</si>
  <si>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</si>
  <si>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</si>
  <si>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</si>
  <si>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</si>
  <si>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</si>
  <si>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</si>
  <si>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</si>
  <si>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</si>
  <si>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</si>
  <si>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800-N130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</si>
  <si>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</si>
  <si>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</si>
  <si>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</si>
  <si>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</si>
  <si>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</si>
  <si>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</si>
  <si>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</si>
  <si>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</si>
  <si>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</si>
  <si>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</si>
  <si>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</si>
  <si>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</si>
  <si>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</si>
  <si>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</si>
  <si>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</si>
  <si>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</si>
  <si>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</si>
  <si>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</si>
  <si>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</si>
  <si>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</si>
  <si>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</si>
  <si>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</si>
  <si>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</si>
  <si>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</si>
  <si>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</si>
  <si>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</si>
  <si>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</si>
  <si>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</si>
  <si>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</si>
  <si>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</si>
  <si>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</si>
  <si>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</si>
  <si>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</si>
  <si>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</si>
  <si>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</si>
  <si>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</si>
  <si>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</si>
  <si>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</si>
  <si>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</si>
  <si>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</si>
  <si>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</si>
  <si>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</si>
  <si>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</si>
  <si>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</si>
  <si>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</si>
  <si>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</si>
  <si>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</si>
  <si>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</si>
  <si>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</si>
  <si>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</si>
  <si>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</si>
  <si>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</si>
  <si>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</si>
  <si>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</si>
  <si>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</si>
  <si>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</si>
  <si>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</si>
  <si>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</si>
  <si>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</si>
  <si>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</si>
  <si>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</si>
  <si>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</si>
  <si>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</si>
  <si>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</si>
  <si>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</si>
  <si>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</si>
  <si>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</si>
  <si>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</si>
  <si>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</si>
  <si>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</si>
  <si>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</si>
  <si>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</si>
  <si>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</si>
  <si>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</si>
  <si>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</si>
  <si>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EC200SXIII-U48-8Y</t>
  </si>
  <si>
    <t>all-electric</t>
  </si>
  <si>
    <t>YIZUMI's</t>
  </si>
  <si>
    <t>FF300 </t>
  </si>
  <si>
    <t>FF300-IU670</t>
  </si>
  <si>
    <t>SE-EV-S</t>
  </si>
  <si>
    <t>SE50EV-S</t>
  </si>
  <si>
    <t>SE-EV-S-HD</t>
  </si>
  <si>
    <t>Locating Hole Diameter (mm)</t>
  </si>
  <si>
    <t>SE-450EV-C2200</t>
  </si>
  <si>
    <t>SE-450EV-C3000</t>
  </si>
  <si>
    <t>270 S 250-70-18</t>
  </si>
  <si>
    <t>270 S 250-70-22</t>
  </si>
  <si>
    <t>270 S 250-70-25</t>
  </si>
  <si>
    <t>270 S 250-100-18</t>
  </si>
  <si>
    <t>270 S 250-100-22</t>
  </si>
  <si>
    <t>270 S 250-100-25</t>
  </si>
  <si>
    <t>270 S 350-70-18</t>
  </si>
  <si>
    <t>270 S 350-70-22</t>
  </si>
  <si>
    <t>270 S 350-70-25</t>
  </si>
  <si>
    <t>270 S 350-100-25</t>
  </si>
  <si>
    <t>270 S 350-170-25</t>
  </si>
  <si>
    <t>270 S 400-170-35</t>
  </si>
  <si>
    <t>270 S 350-170-35</t>
  </si>
  <si>
    <t>270 S 350-170-30</t>
  </si>
  <si>
    <t>270 S 350-100-30</t>
  </si>
  <si>
    <t>270 S 350-100-20</t>
  </si>
  <si>
    <t>270 S 400-70-18</t>
  </si>
  <si>
    <t>270 S 400-70-22</t>
  </si>
  <si>
    <t>270 S 400-70-25</t>
  </si>
  <si>
    <t>270 S 400-100-20</t>
  </si>
  <si>
    <t>270 S 400-100-25</t>
  </si>
  <si>
    <t>270 S 400-100-30</t>
  </si>
  <si>
    <t>270 S 400-170-30</t>
  </si>
  <si>
    <t>270 S 400-170-25</t>
  </si>
  <si>
    <t>Whitman</t>
  </si>
  <si>
    <t>Synthetic Spec</t>
  </si>
  <si>
    <t>Whitman-50T</t>
  </si>
  <si>
    <t>Synthetic realistic engineering estimate</t>
  </si>
  <si>
    <t>Whitman-80T</t>
  </si>
  <si>
    <t>Whitman-110T</t>
  </si>
  <si>
    <t>Whitman-140T</t>
  </si>
  <si>
    <t>Whitman-180T</t>
  </si>
  <si>
    <t>Whitman-220T</t>
  </si>
  <si>
    <t>Whitman-300T</t>
  </si>
  <si>
    <t>Whitman-400T</t>
  </si>
  <si>
    <t>Whitman-500T</t>
  </si>
  <si>
    <t>Whitman-650T</t>
  </si>
  <si>
    <t>Husky</t>
  </si>
  <si>
    <t>Husky-120T</t>
  </si>
  <si>
    <t>Husky-180T</t>
  </si>
  <si>
    <t>Husky-250T</t>
  </si>
  <si>
    <t>Husky-300T</t>
  </si>
  <si>
    <t>Husky-400T</t>
  </si>
  <si>
    <t>Husky-500T</t>
  </si>
  <si>
    <t>Husky-650T</t>
  </si>
  <si>
    <t>Husky-800T</t>
  </si>
  <si>
    <t>Husky-1000T</t>
  </si>
  <si>
    <t>Husky-1200T</t>
  </si>
  <si>
    <t>Fanuc</t>
  </si>
  <si>
    <t>Fanuc-15T</t>
  </si>
  <si>
    <t>Fanuc-30T</t>
  </si>
  <si>
    <t>Fanuc-50T</t>
  </si>
  <si>
    <t>Fanuc-100T</t>
  </si>
  <si>
    <t>Fanuc-130T</t>
  </si>
  <si>
    <t>Fanuc-150T</t>
  </si>
  <si>
    <t>Fanuc-220T</t>
  </si>
  <si>
    <t>Fanuc-300T</t>
  </si>
  <si>
    <t>Fanuc-450T</t>
  </si>
  <si>
    <t>Fanuc-500T</t>
  </si>
  <si>
    <t>UBE</t>
  </si>
  <si>
    <t>UBE-65T</t>
  </si>
  <si>
    <t>UBE-85T</t>
  </si>
  <si>
    <t>UBE-105T</t>
  </si>
  <si>
    <t>UBE-130T</t>
  </si>
  <si>
    <t>UBE-160T</t>
  </si>
  <si>
    <t>UBE-220T</t>
  </si>
  <si>
    <t>UBE-280T</t>
  </si>
  <si>
    <t>UBE-350T</t>
  </si>
  <si>
    <t>UBE-450T</t>
  </si>
  <si>
    <t>UBE-550T</t>
  </si>
  <si>
    <t>Battenfeld</t>
  </si>
  <si>
    <t>Battenfeld-60T</t>
  </si>
  <si>
    <t>Battenfeld-90T</t>
  </si>
  <si>
    <t>Battenfeld-120T</t>
  </si>
  <si>
    <t>Battenfeld-160T</t>
  </si>
  <si>
    <t>Battenfeld-210T</t>
  </si>
  <si>
    <t>Battenfeld-300T</t>
  </si>
  <si>
    <t>Battenfeld-400T</t>
  </si>
  <si>
    <t>Battenfeld-500T</t>
  </si>
  <si>
    <t>Battenfeld-650T</t>
  </si>
  <si>
    <t>Battenfeld-800T</t>
  </si>
  <si>
    <t>Demag</t>
  </si>
  <si>
    <t>Demag-50T</t>
  </si>
  <si>
    <t>Demag-75T</t>
  </si>
  <si>
    <t>Demag-100T</t>
  </si>
  <si>
    <t>Demag-130T</t>
  </si>
  <si>
    <t>Demag-180T</t>
  </si>
  <si>
    <t>Demag-220T</t>
  </si>
  <si>
    <t>Demag-280T</t>
  </si>
  <si>
    <t>Demag-350T</t>
  </si>
  <si>
    <t>Demag-450T</t>
  </si>
  <si>
    <t>Demag-500T</t>
  </si>
  <si>
    <t>Toshiba</t>
  </si>
  <si>
    <t>Toshiba-50T</t>
  </si>
  <si>
    <t>Toshiba-75T</t>
  </si>
  <si>
    <t>Toshiba-100T</t>
  </si>
  <si>
    <t>Toshiba-130T</t>
  </si>
  <si>
    <t>Toshiba-180T</t>
  </si>
  <si>
    <t>Toshiba-230T</t>
  </si>
  <si>
    <t>Toshiba-280T</t>
  </si>
  <si>
    <t>Toshiba-350T</t>
  </si>
  <si>
    <t>Toshiba-450T</t>
  </si>
  <si>
    <t>Toshiba-550T</t>
  </si>
  <si>
    <t>170e</t>
  </si>
  <si>
    <t>290e</t>
  </si>
  <si>
    <t>ALLROUNDER 1000 e TREND</t>
  </si>
  <si>
    <t>Electric </t>
  </si>
  <si>
    <t>Tie Bar X (in)</t>
  </si>
  <si>
    <t>Tie Bar Y (in)</t>
  </si>
  <si>
    <t>Platen X (in)</t>
  </si>
  <si>
    <t>Platen Y (in)</t>
  </si>
  <si>
    <t>EC55SXIII-U1.5-1YZ</t>
  </si>
  <si>
    <t>EC55SXIII-U1.5-1Y</t>
  </si>
  <si>
    <t>EC55SXIII-U1.5-1.5Y</t>
  </si>
  <si>
    <t>EC55SXIII-U1.5-1.5A</t>
  </si>
  <si>
    <t>EC85SXIII-U22-1Y</t>
  </si>
  <si>
    <t>EC85SXIII-U22-1.5Y</t>
  </si>
  <si>
    <t>EC85SXIII-U22-2Y</t>
  </si>
  <si>
    <t>EC85SXIII-U22-2A</t>
  </si>
  <si>
    <t>EC85SXIII-U22-2B</t>
  </si>
  <si>
    <t>EC30SXII-i0.4-0.4Y</t>
  </si>
  <si>
    <t>EC30SXII-i0.4-0.4A</t>
  </si>
  <si>
    <t>duo 1000 WP tech US</t>
  </si>
  <si>
    <t xml:space="preserve">hydraulic wide-platen (WP) </t>
  </si>
  <si>
    <t>Nozzle Radius (mm)</t>
  </si>
  <si>
    <t>Tie Bar Diameter (mm)</t>
  </si>
  <si>
    <t>Victory </t>
  </si>
  <si>
    <t>Victory 30-70</t>
  </si>
  <si>
    <t>370 S 30-18</t>
  </si>
  <si>
    <t>370 S 70-18</t>
  </si>
  <si>
    <t>370 S 70-22</t>
  </si>
  <si>
    <t>370 S 70-25</t>
  </si>
  <si>
    <t>370 S 100-20</t>
  </si>
  <si>
    <t>370 S 100-25</t>
  </si>
  <si>
    <t>ALLROUNDER 370 S Multi-component</t>
  </si>
  <si>
    <t>370 S 30-15-Horizontal</t>
  </si>
  <si>
    <t>370 S 30-15-Vertical</t>
  </si>
  <si>
    <t>370 S 500-100-20</t>
  </si>
  <si>
    <t>370 S 500-100-25</t>
  </si>
  <si>
    <t>370 S 500-100-30</t>
  </si>
  <si>
    <t>370 S 500-170-30</t>
  </si>
  <si>
    <t>370 S 500-170-25</t>
  </si>
  <si>
    <t>370 S 500-170-35</t>
  </si>
  <si>
    <t>370 S 500-290-30</t>
  </si>
  <si>
    <t>370 S 500-290-35</t>
  </si>
  <si>
    <t>370 S 500-290-40</t>
  </si>
  <si>
    <t>370 S 600-100-20</t>
  </si>
  <si>
    <t>370 S 600-100-25</t>
  </si>
  <si>
    <t>370 S 600-100-30</t>
  </si>
  <si>
    <t>370 S 600-170-25</t>
  </si>
  <si>
    <t>370 S 600-170-30</t>
  </si>
  <si>
    <t>370 S 600-170-35</t>
  </si>
  <si>
    <t>370 S 600-290-30</t>
  </si>
  <si>
    <t>370 S 600-290-35</t>
  </si>
  <si>
    <t>370 S 600-290-40</t>
  </si>
  <si>
    <t>370 S 700-100-20</t>
  </si>
  <si>
    <t>370 S 700-100-25</t>
  </si>
  <si>
    <t>370 S 700-100-30</t>
  </si>
  <si>
    <t>370 S 700-170-25</t>
  </si>
  <si>
    <t>370 S 700-170-30</t>
  </si>
  <si>
    <t>370 S 700-170-35</t>
  </si>
  <si>
    <t>370 S 700-290-30</t>
  </si>
  <si>
    <t>370 S 700-290-35</t>
  </si>
  <si>
    <t>370 S 700-290-40</t>
  </si>
  <si>
    <t>420 S 1300-675</t>
  </si>
  <si>
    <t>420 S 1000-150</t>
  </si>
  <si>
    <t>470 S 800-170-25</t>
  </si>
  <si>
    <t>470 S 1100-400-45</t>
  </si>
  <si>
    <t>520 S 1600-800-55</t>
  </si>
  <si>
    <t>520 S 1300-290-30</t>
  </si>
  <si>
    <t>570 S 1600-400</t>
  </si>
  <si>
    <t>570 S 2200-1300</t>
  </si>
  <si>
    <t>630 S 2500-2100</t>
  </si>
  <si>
    <t>630 S 2500-800</t>
  </si>
  <si>
    <t>720 S 3200-1300</t>
  </si>
  <si>
    <t>720 S 3200-3200</t>
  </si>
  <si>
    <t>flexseal-300-330</t>
  </si>
  <si>
    <t>flexseal-300-1050</t>
  </si>
  <si>
    <t>elast</t>
  </si>
  <si>
    <t>Elastomer</t>
  </si>
  <si>
    <t>victory 30-70</t>
  </si>
  <si>
    <t>victory 40-70</t>
  </si>
  <si>
    <t>victory 50-130</t>
  </si>
  <si>
    <t>victory 80-320</t>
  </si>
  <si>
    <t>victory 120-460</t>
  </si>
  <si>
    <t>victory 140-660</t>
  </si>
  <si>
    <t>victory 160-860</t>
  </si>
  <si>
    <t>victory 180-1060</t>
  </si>
  <si>
    <t>victory 200-1560</t>
  </si>
  <si>
    <t>victory 220-2460</t>
  </si>
  <si>
    <t>victory 260-2460</t>
  </si>
  <si>
    <t>victory 300-2460</t>
  </si>
  <si>
    <t>victory 350-3660</t>
  </si>
  <si>
    <t>victory 400-3660</t>
  </si>
  <si>
    <t>victory 450-5160</t>
  </si>
  <si>
    <t>e-victory 28-50</t>
  </si>
  <si>
    <t>e-victory 40-50</t>
  </si>
  <si>
    <t>e-victory 50-165</t>
  </si>
  <si>
    <t>e-victory 60-165</t>
  </si>
  <si>
    <t>e-victory 80-265</t>
  </si>
  <si>
    <t>e-victory 100-465</t>
  </si>
  <si>
    <t>e-victory 120-465</t>
  </si>
  <si>
    <t>e-victory 140-765</t>
  </si>
  <si>
    <t>e-victory 160-765</t>
  </si>
  <si>
    <t>e-victory 180-1065</t>
  </si>
  <si>
    <t>e-victory 200-1565</t>
  </si>
  <si>
    <t>e-victory 220-1565</t>
  </si>
  <si>
    <t>e-victory 260-2465</t>
  </si>
  <si>
    <t>e-victory 300-2465</t>
  </si>
  <si>
    <t>e-victory 350-3440</t>
  </si>
  <si>
    <t>e-victory 400-3440</t>
  </si>
  <si>
    <t>e-victory 450-3440</t>
  </si>
  <si>
    <t>e-victory 500-3440</t>
  </si>
  <si>
    <t>victory 60-130</t>
  </si>
  <si>
    <t>victory 100-320</t>
  </si>
  <si>
    <t>victory 500-8160</t>
  </si>
  <si>
    <t>SE30EV-A-C35S-18</t>
  </si>
  <si>
    <t>SE30EV-A-C65S-25</t>
  </si>
  <si>
    <t>Advanced All-Electric Series</t>
  </si>
  <si>
    <t>SE50EV-A-C65S-18</t>
  </si>
  <si>
    <t>SE50EV-A-C160S-32</t>
  </si>
  <si>
    <t>SE75EV-A-C110S</t>
  </si>
  <si>
    <t>SE75EV-A-C250M</t>
  </si>
  <si>
    <t>SE100EV-A-C110S</t>
  </si>
  <si>
    <t>SE100EV-A-C360M</t>
  </si>
  <si>
    <t>SE130EV-A-C160S</t>
  </si>
  <si>
    <t>SE130EV-A-C450M</t>
  </si>
  <si>
    <t>SE180EV-A-C250M</t>
  </si>
  <si>
    <t>SE180EV-A-C560M</t>
  </si>
  <si>
    <t>SE220EV-A-HD-C750</t>
  </si>
  <si>
    <t>SE220EV-A-HD-C1100</t>
  </si>
  <si>
    <t>SE250EV-A-HD-C1100</t>
  </si>
  <si>
    <t>SE250EV-A-HD-C750</t>
  </si>
  <si>
    <t>High-Duty Mid-Sized All-Electric</t>
  </si>
  <si>
    <t>SE280EV-A-HD-C1100</t>
  </si>
  <si>
    <t>SE280EV-A-HD-C2200</t>
  </si>
  <si>
    <t>SE-EV-A-HD</t>
  </si>
  <si>
    <t>SE315EV-A-HD-C2200</t>
  </si>
  <si>
    <t>SE315EV-A-HD-C1100</t>
  </si>
  <si>
    <t>SE350EV-A-HD-C2200</t>
  </si>
  <si>
    <t>SE350EV-A-HD-C1100</t>
  </si>
  <si>
    <t>SE450EV-A-HD-C2200</t>
  </si>
  <si>
    <t>SE450EV-A-HD-C3000</t>
  </si>
  <si>
    <t>SE385EV-A-HD-C1100</t>
  </si>
  <si>
    <t>SE385EV-A-HD-C2200</t>
  </si>
  <si>
    <t>SE500EV-A-HD-C2200</t>
  </si>
  <si>
    <t>SE500EV-A-HD-C3000</t>
  </si>
  <si>
    <t>EC250SXIII-U48-4Y</t>
  </si>
  <si>
    <t>EC250SXIII-U48-8B</t>
  </si>
  <si>
    <t>EC250SXIII-U5-17B</t>
  </si>
  <si>
    <t>ELION 2200-N250-18</t>
  </si>
  <si>
    <t>ELION 2200-N250-40</t>
  </si>
  <si>
    <t>ELION 800-N60-16</t>
  </si>
  <si>
    <t>ELION 800-N60-18</t>
  </si>
  <si>
    <t>ELION 800-N60-20</t>
  </si>
  <si>
    <t>ELION 800-N60-25</t>
  </si>
  <si>
    <t>ELION 800-N270-33</t>
  </si>
  <si>
    <t>ELION 800-N270-36</t>
  </si>
  <si>
    <t>ELION 800-N270-40</t>
  </si>
  <si>
    <t>ELION 1200-N510-35</t>
  </si>
  <si>
    <t>ELION 1200-N510-50</t>
  </si>
  <si>
    <t>ELION 1750-N250-40</t>
  </si>
  <si>
    <t>ELION 1750-N250-18</t>
  </si>
  <si>
    <t>ELION 1750-N510-36</t>
  </si>
  <si>
    <t>ELION 1750-N510-50</t>
  </si>
  <si>
    <t>ELION 1750-N870-46</t>
  </si>
  <si>
    <t>ELION 1750-N870-60</t>
  </si>
  <si>
    <t>ELION 2800-N510-36</t>
  </si>
  <si>
    <t>ELION 2800-N510-50</t>
  </si>
  <si>
    <t>ELION 2800-N870-46</t>
  </si>
  <si>
    <t>ELION 2800-N870-60</t>
  </si>
  <si>
    <t>ELION 2200-N510-50</t>
  </si>
  <si>
    <t>ELION 2200-N870-60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</si>
</sst>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3" borderId="0" xfId="0" applyFill="1"/>
    <xf numFmtId="0" fontId="5" fillId="0" borderId="0" xfId="0" applyFont="1"/>
    <xf numFmtId="1" fontId="1" fillId="0" borderId="1" xfId="0" applyNumberFormat="1" applyFont="1" applyBorder="1" applyAlignment="1">
      <alignment horizontal="center" vertical="top" wrapText="1"/>
    </xf>
    <xf numFmtId="1" fontId="0" fillId="0" borderId="0" xfId="0" applyNumberFormat="1"/>
    <xf numFmtId="1" fontId="5" fillId="0" borderId="0" xfId="0" applyNumberFormat="1" applyFont="1"/>
    <xf numFmtId="0" fontId="0" fillId="4" borderId="0" xfId="0" applyFill="1"/>
    <xf numFmtId="0" fontId="0" fillId="5" borderId="0" xfId="0" applyFill="1"/>
    <xf numFmtId="0" fontId="0" fillId="6" borderId="0" xfId="0" applyFill="1"/>
    <xf numFmtId="164" fontId="1" fillId="0" borderId="1" xfId="0" applyNumberFormat="1" applyFont="1" applyBorder="1" applyAlignment="1">
      <alignment horizontal="center" vertical="top" wrapText="1"/>
    </xf>
    <xf numFmtId="164" fontId="0" fillId="0" borderId="0" xfId="0" applyNumberFormat="1"/>
    <xf numFmtId="164" fontId="5" fillId="0" borderId="0" xfId="0" applyNumberFormat="1" applyFont="1"/>
    <xf numFmtId="2" fontId="1" fillId="0" borderId="1" xfId="0" applyNumberFormat="1" applyFont="1" applyBorder="1" applyAlignment="1">
      <alignment horizontal="center" vertical="top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77"/>
  <sheetViews>
    <sheetView tabSelected="1" zoomScale="90" zoomScaleNormal="90" workbookViewId="0">
      <pane ySplit="1" topLeftCell="A2" activePane="bottomLeft" state="frozen"/>
      <selection pane="bottomLeft" activeCell="R31" sqref="R31"/>
    </sheetView>
  </sheetViews>
  <sheetFormatPr defaultRowHeight="15" x14ac:dyDescent="0.25"/>
  <cols>
    <col min="1" max="1" width="11.140625" bestFit="1" customWidth="1"/>
    <col min="2" max="2" width="22.7109375" customWidth="1"/>
    <col min="3" max="3" width="25.140625" customWidth="1"/>
    <col min="4" max="4" width="12" customWidth="1"/>
    <col min="5" max="5" width="12.28515625" customWidth="1"/>
    <col min="6" max="6" width="8.85546875" style="11" customWidth="1"/>
    <col min="7" max="7" width="8.7109375" style="11" customWidth="1"/>
    <col min="8" max="9" width="8.7109375" customWidth="1"/>
    <col min="10" max="10" width="9" style="11" customWidth="1"/>
    <col min="11" max="11" width="9.42578125" style="11" customWidth="1"/>
    <col min="12" max="13" width="9.42578125" style="20" customWidth="1"/>
    <col min="14" max="14" width="9.42578125" customWidth="1"/>
    <col min="15" max="15" width="13.28515625" customWidth="1"/>
    <col min="16" max="16" width="10.140625" customWidth="1"/>
    <col min="17" max="17" width="10.42578125" customWidth="1"/>
    <col min="18" max="18" width="15" customWidth="1"/>
    <col min="19" max="19" width="11.7109375" customWidth="1"/>
    <col min="20" max="20" width="13.140625" customWidth="1"/>
    <col min="21" max="21" width="11.5703125" customWidth="1"/>
    <col min="22" max="22" width="14.5703125" customWidth="1"/>
    <col min="23" max="23" width="19.28515625" customWidth="1"/>
    <col min="24" max="26" width="13.42578125" customWidth="1"/>
    <col min="27" max="27" width="33.42578125" bestFit="1" customWidth="1"/>
  </cols>
  <sheetData>
    <row r="1" spans="1:27" s="6" customFormat="1" ht="4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317</v>
      </c>
      <c r="F1" s="10" t="s">
        <v>4</v>
      </c>
      <c r="G1" s="10" t="s">
        <v>5</v>
      </c>
      <c r="H1" s="5" t="s">
        <v>443</v>
      </c>
      <c r="I1" s="5" t="s">
        <v>444</v>
      </c>
      <c r="J1" s="10" t="s">
        <v>6</v>
      </c>
      <c r="K1" s="10" t="s">
        <v>7</v>
      </c>
      <c r="L1" s="19" t="s">
        <v>441</v>
      </c>
      <c r="M1" s="19" t="s">
        <v>442</v>
      </c>
      <c r="N1" s="10" t="s">
        <v>459</v>
      </c>
      <c r="O1" s="5" t="s">
        <v>8</v>
      </c>
      <c r="P1" s="5" t="s">
        <v>9</v>
      </c>
      <c r="Q1" s="5" t="s">
        <v>10</v>
      </c>
      <c r="R1" s="5" t="s">
        <v>267</v>
      </c>
      <c r="S1" s="5" t="s">
        <v>12</v>
      </c>
      <c r="T1" s="7" t="s">
        <v>13</v>
      </c>
      <c r="U1" s="5" t="s">
        <v>14</v>
      </c>
      <c r="V1" s="5" t="s">
        <v>265</v>
      </c>
      <c r="W1" s="5" t="s">
        <v>266</v>
      </c>
      <c r="X1" s="7" t="s">
        <v>318</v>
      </c>
      <c r="Y1" s="5" t="s">
        <v>331</v>
      </c>
      <c r="Z1" s="5" t="s">
        <v>458</v>
      </c>
      <c r="AA1" s="5" t="s">
        <v>11</v>
      </c>
    </row>
    <row r="2" spans="1:27" x14ac:dyDescent="0.25">
      <c r="A2" t="s">
        <v>30</v>
      </c>
      <c r="B2" t="s">
        <v>31</v>
      </c>
      <c r="C2" s="1" t="s">
        <v>32</v>
      </c>
      <c r="D2" s="13">
        <f t="shared" ref="D2:D27" si="0">E2/10</f>
        <v>25</v>
      </c>
      <c r="E2">
        <v>250</v>
      </c>
      <c r="F2" s="11">
        <v>380</v>
      </c>
      <c r="G2" s="11">
        <v>380</v>
      </c>
      <c r="J2" s="11">
        <v>220</v>
      </c>
      <c r="K2" s="11">
        <v>220</v>
      </c>
      <c r="O2">
        <v>475</v>
      </c>
      <c r="P2">
        <v>200</v>
      </c>
      <c r="Q2">
        <f t="shared" ref="Q2:Q33" si="1">O2*0.6</f>
        <v>285</v>
      </c>
      <c r="R2">
        <v>275</v>
      </c>
      <c r="T2" s="8">
        <v>18</v>
      </c>
      <c r="U2">
        <v>18</v>
      </c>
      <c r="V2">
        <v>800</v>
      </c>
      <c r="X2">
        <v>95</v>
      </c>
      <c r="Y2">
        <v>110</v>
      </c>
      <c r="AA2" t="s">
        <v>33</v>
      </c>
    </row>
    <row r="3" spans="1:27" x14ac:dyDescent="0.25">
      <c r="A3" t="s">
        <v>30</v>
      </c>
      <c r="B3" t="s">
        <v>31</v>
      </c>
      <c r="C3" s="1" t="s">
        <v>32</v>
      </c>
      <c r="D3" s="13">
        <f t="shared" si="0"/>
        <v>25</v>
      </c>
      <c r="E3">
        <v>250</v>
      </c>
      <c r="F3" s="11">
        <v>380</v>
      </c>
      <c r="G3" s="11">
        <v>380</v>
      </c>
      <c r="J3" s="11">
        <v>220</v>
      </c>
      <c r="K3" s="11">
        <v>220</v>
      </c>
      <c r="O3">
        <v>475</v>
      </c>
      <c r="P3">
        <v>200</v>
      </c>
      <c r="Q3">
        <f t="shared" si="1"/>
        <v>285</v>
      </c>
      <c r="R3">
        <v>275</v>
      </c>
      <c r="T3">
        <v>48</v>
      </c>
      <c r="U3">
        <v>22</v>
      </c>
      <c r="V3">
        <v>800</v>
      </c>
      <c r="X3">
        <v>95</v>
      </c>
      <c r="Y3">
        <v>110</v>
      </c>
      <c r="AA3" t="s">
        <v>33</v>
      </c>
    </row>
    <row r="4" spans="1:27" x14ac:dyDescent="0.25">
      <c r="A4" t="s">
        <v>30</v>
      </c>
      <c r="B4" t="s">
        <v>31</v>
      </c>
      <c r="C4" s="1" t="s">
        <v>334</v>
      </c>
      <c r="D4" s="13">
        <f t="shared" si="0"/>
        <v>25</v>
      </c>
      <c r="E4">
        <v>250</v>
      </c>
      <c r="F4" s="11">
        <v>380</v>
      </c>
      <c r="G4" s="11">
        <v>380</v>
      </c>
      <c r="J4" s="11">
        <v>270</v>
      </c>
      <c r="K4" s="11">
        <v>270</v>
      </c>
      <c r="O4">
        <v>550</v>
      </c>
      <c r="P4">
        <v>200</v>
      </c>
      <c r="Q4">
        <f t="shared" si="1"/>
        <v>330</v>
      </c>
      <c r="R4">
        <v>350</v>
      </c>
      <c r="T4">
        <v>21</v>
      </c>
      <c r="U4">
        <v>18</v>
      </c>
      <c r="W4">
        <v>135</v>
      </c>
      <c r="Y4">
        <v>110</v>
      </c>
      <c r="AA4" t="s">
        <v>34</v>
      </c>
    </row>
    <row r="5" spans="1:27" x14ac:dyDescent="0.25">
      <c r="A5" t="s">
        <v>30</v>
      </c>
      <c r="B5" t="s">
        <v>31</v>
      </c>
      <c r="C5" s="1" t="s">
        <v>335</v>
      </c>
      <c r="D5" s="13">
        <f t="shared" si="0"/>
        <v>25</v>
      </c>
      <c r="E5">
        <v>250</v>
      </c>
      <c r="F5" s="11">
        <v>380</v>
      </c>
      <c r="G5" s="11">
        <v>380</v>
      </c>
      <c r="J5" s="11">
        <v>270</v>
      </c>
      <c r="K5" s="11">
        <v>270</v>
      </c>
      <c r="O5">
        <v>550</v>
      </c>
      <c r="P5">
        <v>200</v>
      </c>
      <c r="Q5">
        <f t="shared" si="1"/>
        <v>330</v>
      </c>
      <c r="R5">
        <v>350</v>
      </c>
      <c r="T5">
        <v>31</v>
      </c>
      <c r="U5">
        <v>22</v>
      </c>
      <c r="W5">
        <v>135</v>
      </c>
      <c r="Y5">
        <v>110</v>
      </c>
      <c r="AA5" t="s">
        <v>34</v>
      </c>
    </row>
    <row r="6" spans="1:27" x14ac:dyDescent="0.25">
      <c r="A6" t="s">
        <v>30</v>
      </c>
      <c r="B6" t="s">
        <v>31</v>
      </c>
      <c r="C6" s="1" t="s">
        <v>336</v>
      </c>
      <c r="D6" s="13">
        <f t="shared" si="0"/>
        <v>25</v>
      </c>
      <c r="E6">
        <v>250</v>
      </c>
      <c r="F6" s="11">
        <v>380</v>
      </c>
      <c r="G6" s="11">
        <v>380</v>
      </c>
      <c r="J6" s="11">
        <v>270</v>
      </c>
      <c r="K6" s="11">
        <v>270</v>
      </c>
      <c r="O6">
        <v>550</v>
      </c>
      <c r="P6">
        <v>200</v>
      </c>
      <c r="Q6">
        <f t="shared" si="1"/>
        <v>330</v>
      </c>
      <c r="R6">
        <v>350</v>
      </c>
      <c r="T6">
        <v>40</v>
      </c>
      <c r="U6">
        <v>25</v>
      </c>
      <c r="W6">
        <v>135</v>
      </c>
      <c r="Y6">
        <v>110</v>
      </c>
      <c r="AA6" t="s">
        <v>34</v>
      </c>
    </row>
    <row r="7" spans="1:27" x14ac:dyDescent="0.25">
      <c r="A7" t="s">
        <v>30</v>
      </c>
      <c r="B7" t="s">
        <v>31</v>
      </c>
      <c r="C7" s="1" t="s">
        <v>337</v>
      </c>
      <c r="D7" s="13">
        <f t="shared" si="0"/>
        <v>25</v>
      </c>
      <c r="E7">
        <v>250</v>
      </c>
      <c r="F7" s="11">
        <v>380</v>
      </c>
      <c r="G7" s="11">
        <v>380</v>
      </c>
      <c r="J7" s="11">
        <v>270</v>
      </c>
      <c r="K7" s="11">
        <v>270</v>
      </c>
      <c r="O7">
        <v>550</v>
      </c>
      <c r="P7">
        <v>200</v>
      </c>
      <c r="Q7">
        <f t="shared" si="1"/>
        <v>330</v>
      </c>
      <c r="R7">
        <v>350</v>
      </c>
      <c r="T7">
        <v>29</v>
      </c>
      <c r="U7">
        <v>20</v>
      </c>
      <c r="W7">
        <v>135</v>
      </c>
      <c r="Y7">
        <v>110</v>
      </c>
      <c r="AA7" t="s">
        <v>34</v>
      </c>
    </row>
    <row r="8" spans="1:27" x14ac:dyDescent="0.25">
      <c r="A8" t="s">
        <v>30</v>
      </c>
      <c r="B8" t="s">
        <v>31</v>
      </c>
      <c r="C8" s="1" t="s">
        <v>338</v>
      </c>
      <c r="D8" s="13">
        <f t="shared" si="0"/>
        <v>25</v>
      </c>
      <c r="E8">
        <v>250</v>
      </c>
      <c r="F8" s="11">
        <v>380</v>
      </c>
      <c r="G8" s="11">
        <v>380</v>
      </c>
      <c r="J8" s="11">
        <v>270</v>
      </c>
      <c r="K8" s="11">
        <v>270</v>
      </c>
      <c r="O8">
        <v>550</v>
      </c>
      <c r="P8">
        <v>200</v>
      </c>
      <c r="Q8">
        <f t="shared" si="1"/>
        <v>330</v>
      </c>
      <c r="R8">
        <v>350</v>
      </c>
      <c r="T8">
        <v>45</v>
      </c>
      <c r="U8">
        <v>25</v>
      </c>
      <c r="W8">
        <v>135</v>
      </c>
      <c r="Y8">
        <v>110</v>
      </c>
      <c r="AA8" t="s">
        <v>34</v>
      </c>
    </row>
    <row r="9" spans="1:27" x14ac:dyDescent="0.25">
      <c r="A9" t="s">
        <v>30</v>
      </c>
      <c r="B9" t="s">
        <v>31</v>
      </c>
      <c r="C9" s="1" t="s">
        <v>339</v>
      </c>
      <c r="D9" s="13">
        <f t="shared" si="0"/>
        <v>25</v>
      </c>
      <c r="E9">
        <v>250</v>
      </c>
      <c r="F9" s="11">
        <v>380</v>
      </c>
      <c r="G9" s="11">
        <v>380</v>
      </c>
      <c r="J9" s="11">
        <v>270</v>
      </c>
      <c r="K9" s="11">
        <v>270</v>
      </c>
      <c r="O9">
        <v>550</v>
      </c>
      <c r="P9">
        <v>200</v>
      </c>
      <c r="Q9">
        <f t="shared" si="1"/>
        <v>330</v>
      </c>
      <c r="R9">
        <v>350</v>
      </c>
      <c r="T9">
        <v>65</v>
      </c>
      <c r="U9">
        <v>30</v>
      </c>
      <c r="W9">
        <v>135</v>
      </c>
      <c r="Y9">
        <v>110</v>
      </c>
      <c r="AA9" t="s">
        <v>34</v>
      </c>
    </row>
    <row r="10" spans="1:27" x14ac:dyDescent="0.25">
      <c r="A10" t="s">
        <v>30</v>
      </c>
      <c r="B10" t="s">
        <v>31</v>
      </c>
      <c r="C10" s="1" t="s">
        <v>340</v>
      </c>
      <c r="D10" s="13">
        <f t="shared" si="0"/>
        <v>35</v>
      </c>
      <c r="E10">
        <v>350</v>
      </c>
      <c r="F10" s="11">
        <v>380</v>
      </c>
      <c r="G10" s="11">
        <v>380</v>
      </c>
      <c r="J10" s="11">
        <v>270</v>
      </c>
      <c r="K10" s="11">
        <v>270</v>
      </c>
      <c r="O10">
        <v>550</v>
      </c>
      <c r="P10">
        <v>200</v>
      </c>
      <c r="Q10">
        <f t="shared" si="1"/>
        <v>330</v>
      </c>
      <c r="R10">
        <v>350</v>
      </c>
      <c r="T10">
        <v>21</v>
      </c>
      <c r="U10">
        <v>18</v>
      </c>
      <c r="W10">
        <v>135</v>
      </c>
      <c r="Y10">
        <v>110</v>
      </c>
      <c r="AA10" t="s">
        <v>34</v>
      </c>
    </row>
    <row r="11" spans="1:27" x14ac:dyDescent="0.25">
      <c r="A11" t="s">
        <v>30</v>
      </c>
      <c r="B11" t="s">
        <v>31</v>
      </c>
      <c r="C11" s="1" t="s">
        <v>341</v>
      </c>
      <c r="D11" s="13">
        <f t="shared" si="0"/>
        <v>35</v>
      </c>
      <c r="E11">
        <v>350</v>
      </c>
      <c r="F11" s="11">
        <v>380</v>
      </c>
      <c r="G11" s="11">
        <v>380</v>
      </c>
      <c r="J11" s="11">
        <v>270</v>
      </c>
      <c r="K11" s="11">
        <v>270</v>
      </c>
      <c r="O11">
        <v>550</v>
      </c>
      <c r="P11">
        <v>200</v>
      </c>
      <c r="Q11">
        <f t="shared" si="1"/>
        <v>330</v>
      </c>
      <c r="R11">
        <v>350</v>
      </c>
      <c r="T11">
        <v>31</v>
      </c>
      <c r="U11">
        <v>22</v>
      </c>
      <c r="W11">
        <v>135</v>
      </c>
      <c r="Y11">
        <v>110</v>
      </c>
      <c r="AA11" t="s">
        <v>34</v>
      </c>
    </row>
    <row r="12" spans="1:27" x14ac:dyDescent="0.25">
      <c r="A12" t="s">
        <v>30</v>
      </c>
      <c r="B12" t="s">
        <v>31</v>
      </c>
      <c r="C12" s="1" t="s">
        <v>342</v>
      </c>
      <c r="D12" s="13">
        <f t="shared" si="0"/>
        <v>35</v>
      </c>
      <c r="E12">
        <v>350</v>
      </c>
      <c r="F12" s="11">
        <v>380</v>
      </c>
      <c r="G12" s="11">
        <v>380</v>
      </c>
      <c r="J12" s="11">
        <v>270</v>
      </c>
      <c r="K12" s="11">
        <v>270</v>
      </c>
      <c r="O12">
        <v>550</v>
      </c>
      <c r="P12">
        <v>200</v>
      </c>
      <c r="Q12">
        <f t="shared" si="1"/>
        <v>330</v>
      </c>
      <c r="R12">
        <v>350</v>
      </c>
      <c r="T12">
        <v>40</v>
      </c>
      <c r="U12">
        <v>25</v>
      </c>
      <c r="W12">
        <v>135</v>
      </c>
      <c r="Y12">
        <v>110</v>
      </c>
      <c r="AA12" t="s">
        <v>34</v>
      </c>
    </row>
    <row r="13" spans="1:27" x14ac:dyDescent="0.25">
      <c r="A13" t="s">
        <v>30</v>
      </c>
      <c r="B13" t="s">
        <v>31</v>
      </c>
      <c r="C13" s="1" t="s">
        <v>349</v>
      </c>
      <c r="D13" s="13">
        <f t="shared" si="0"/>
        <v>35</v>
      </c>
      <c r="E13">
        <v>350</v>
      </c>
      <c r="F13" s="11">
        <v>380</v>
      </c>
      <c r="G13" s="11">
        <v>380</v>
      </c>
      <c r="J13" s="11">
        <v>270</v>
      </c>
      <c r="K13" s="11">
        <v>270</v>
      </c>
      <c r="O13">
        <v>550</v>
      </c>
      <c r="P13">
        <v>200</v>
      </c>
      <c r="Q13">
        <f t="shared" si="1"/>
        <v>330</v>
      </c>
      <c r="R13">
        <v>350</v>
      </c>
      <c r="T13">
        <v>29</v>
      </c>
      <c r="U13">
        <v>20</v>
      </c>
      <c r="W13">
        <v>135</v>
      </c>
      <c r="Y13">
        <v>110</v>
      </c>
      <c r="AA13" t="s">
        <v>34</v>
      </c>
    </row>
    <row r="14" spans="1:27" x14ac:dyDescent="0.25">
      <c r="A14" t="s">
        <v>30</v>
      </c>
      <c r="B14" t="s">
        <v>31</v>
      </c>
      <c r="C14" s="1" t="s">
        <v>343</v>
      </c>
      <c r="D14" s="13">
        <f t="shared" si="0"/>
        <v>35</v>
      </c>
      <c r="E14">
        <v>350</v>
      </c>
      <c r="F14" s="11">
        <v>380</v>
      </c>
      <c r="G14" s="11">
        <v>380</v>
      </c>
      <c r="J14" s="11">
        <v>270</v>
      </c>
      <c r="K14" s="11">
        <v>270</v>
      </c>
      <c r="O14">
        <v>550</v>
      </c>
      <c r="P14">
        <v>200</v>
      </c>
      <c r="Q14">
        <f t="shared" si="1"/>
        <v>330</v>
      </c>
      <c r="R14">
        <v>350</v>
      </c>
      <c r="T14">
        <v>45</v>
      </c>
      <c r="U14">
        <v>25</v>
      </c>
      <c r="W14">
        <v>135</v>
      </c>
      <c r="Y14">
        <v>110</v>
      </c>
      <c r="AA14" t="s">
        <v>34</v>
      </c>
    </row>
    <row r="15" spans="1:27" x14ac:dyDescent="0.25">
      <c r="A15" t="s">
        <v>30</v>
      </c>
      <c r="B15" t="s">
        <v>31</v>
      </c>
      <c r="C15" s="1" t="s">
        <v>348</v>
      </c>
      <c r="D15" s="13">
        <f t="shared" si="0"/>
        <v>35</v>
      </c>
      <c r="E15">
        <v>350</v>
      </c>
      <c r="F15" s="11">
        <v>380</v>
      </c>
      <c r="G15" s="11">
        <v>380</v>
      </c>
      <c r="J15" s="11">
        <v>270</v>
      </c>
      <c r="K15" s="11">
        <v>270</v>
      </c>
      <c r="O15">
        <v>550</v>
      </c>
      <c r="P15">
        <v>200</v>
      </c>
      <c r="Q15">
        <f t="shared" si="1"/>
        <v>330</v>
      </c>
      <c r="R15">
        <v>350</v>
      </c>
      <c r="T15">
        <v>65</v>
      </c>
      <c r="U15">
        <v>30</v>
      </c>
      <c r="W15">
        <v>135</v>
      </c>
      <c r="Y15">
        <v>110</v>
      </c>
      <c r="AA15" t="s">
        <v>34</v>
      </c>
    </row>
    <row r="16" spans="1:27" x14ac:dyDescent="0.25">
      <c r="A16" t="s">
        <v>30</v>
      </c>
      <c r="B16" t="s">
        <v>31</v>
      </c>
      <c r="C16" s="1" t="s">
        <v>344</v>
      </c>
      <c r="D16" s="13">
        <f t="shared" si="0"/>
        <v>35</v>
      </c>
      <c r="E16">
        <v>350</v>
      </c>
      <c r="F16" s="11">
        <v>380</v>
      </c>
      <c r="G16" s="11">
        <v>380</v>
      </c>
      <c r="J16" s="11">
        <v>270</v>
      </c>
      <c r="K16" s="11">
        <v>270</v>
      </c>
      <c r="O16">
        <v>550</v>
      </c>
      <c r="P16">
        <v>200</v>
      </c>
      <c r="Q16">
        <f t="shared" si="1"/>
        <v>330</v>
      </c>
      <c r="R16">
        <v>350</v>
      </c>
      <c r="T16">
        <v>54</v>
      </c>
      <c r="U16">
        <v>25</v>
      </c>
      <c r="W16">
        <v>135</v>
      </c>
      <c r="Y16">
        <v>110</v>
      </c>
      <c r="AA16" t="s">
        <v>34</v>
      </c>
    </row>
    <row r="17" spans="1:27" x14ac:dyDescent="0.25">
      <c r="A17" t="s">
        <v>30</v>
      </c>
      <c r="B17" t="s">
        <v>31</v>
      </c>
      <c r="C17" s="1" t="s">
        <v>347</v>
      </c>
      <c r="D17" s="13">
        <f t="shared" si="0"/>
        <v>35</v>
      </c>
      <c r="E17">
        <v>350</v>
      </c>
      <c r="F17" s="11">
        <v>380</v>
      </c>
      <c r="G17" s="11">
        <v>380</v>
      </c>
      <c r="J17" s="11">
        <v>270</v>
      </c>
      <c r="K17" s="11">
        <v>270</v>
      </c>
      <c r="O17">
        <v>550</v>
      </c>
      <c r="P17">
        <v>200</v>
      </c>
      <c r="Q17">
        <f t="shared" si="1"/>
        <v>330</v>
      </c>
      <c r="R17">
        <v>350</v>
      </c>
      <c r="T17">
        <v>77</v>
      </c>
      <c r="U17">
        <v>30</v>
      </c>
      <c r="W17">
        <v>135</v>
      </c>
      <c r="Y17">
        <v>110</v>
      </c>
      <c r="AA17" t="s">
        <v>34</v>
      </c>
    </row>
    <row r="18" spans="1:27" x14ac:dyDescent="0.25">
      <c r="A18" t="s">
        <v>30</v>
      </c>
      <c r="B18" t="s">
        <v>31</v>
      </c>
      <c r="C18" s="1" t="s">
        <v>346</v>
      </c>
      <c r="D18" s="13">
        <f t="shared" si="0"/>
        <v>35</v>
      </c>
      <c r="E18">
        <v>350</v>
      </c>
      <c r="F18" s="11">
        <v>380</v>
      </c>
      <c r="G18" s="11">
        <v>380</v>
      </c>
      <c r="J18" s="11">
        <v>270</v>
      </c>
      <c r="K18" s="11">
        <v>270</v>
      </c>
      <c r="O18">
        <v>550</v>
      </c>
      <c r="P18">
        <v>200</v>
      </c>
      <c r="Q18">
        <f t="shared" si="1"/>
        <v>330</v>
      </c>
      <c r="R18">
        <v>350</v>
      </c>
      <c r="T18">
        <v>105</v>
      </c>
      <c r="U18">
        <v>35</v>
      </c>
      <c r="W18">
        <v>135</v>
      </c>
      <c r="Y18">
        <v>110</v>
      </c>
      <c r="AA18" t="s">
        <v>34</v>
      </c>
    </row>
    <row r="19" spans="1:27" x14ac:dyDescent="0.25">
      <c r="A19" t="s">
        <v>30</v>
      </c>
      <c r="B19" t="s">
        <v>31</v>
      </c>
      <c r="C19" s="1" t="s">
        <v>350</v>
      </c>
      <c r="D19" s="13">
        <f t="shared" si="0"/>
        <v>40</v>
      </c>
      <c r="E19">
        <v>400</v>
      </c>
      <c r="F19" s="11">
        <v>380</v>
      </c>
      <c r="G19" s="11">
        <v>380</v>
      </c>
      <c r="J19" s="11">
        <v>270</v>
      </c>
      <c r="K19" s="11">
        <v>270</v>
      </c>
      <c r="O19">
        <v>550</v>
      </c>
      <c r="P19">
        <v>200</v>
      </c>
      <c r="Q19">
        <f t="shared" si="1"/>
        <v>330</v>
      </c>
      <c r="R19">
        <v>350</v>
      </c>
      <c r="T19">
        <v>21</v>
      </c>
      <c r="U19">
        <v>18</v>
      </c>
      <c r="W19">
        <v>135</v>
      </c>
      <c r="Y19">
        <v>110</v>
      </c>
      <c r="AA19" t="s">
        <v>34</v>
      </c>
    </row>
    <row r="20" spans="1:27" x14ac:dyDescent="0.25">
      <c r="A20" t="s">
        <v>30</v>
      </c>
      <c r="B20" t="s">
        <v>31</v>
      </c>
      <c r="C20" s="1" t="s">
        <v>351</v>
      </c>
      <c r="D20" s="13">
        <f t="shared" si="0"/>
        <v>40</v>
      </c>
      <c r="E20">
        <v>400</v>
      </c>
      <c r="F20" s="11">
        <v>380</v>
      </c>
      <c r="G20" s="11">
        <v>380</v>
      </c>
      <c r="J20" s="11">
        <v>270</v>
      </c>
      <c r="K20" s="11">
        <v>270</v>
      </c>
      <c r="O20">
        <v>550</v>
      </c>
      <c r="P20">
        <v>200</v>
      </c>
      <c r="Q20">
        <f t="shared" si="1"/>
        <v>330</v>
      </c>
      <c r="R20">
        <v>350</v>
      </c>
      <c r="T20">
        <v>31</v>
      </c>
      <c r="U20">
        <v>22</v>
      </c>
      <c r="W20">
        <v>135</v>
      </c>
      <c r="Y20">
        <v>110</v>
      </c>
      <c r="AA20" t="s">
        <v>34</v>
      </c>
    </row>
    <row r="21" spans="1:27" x14ac:dyDescent="0.25">
      <c r="A21" t="s">
        <v>30</v>
      </c>
      <c r="B21" t="s">
        <v>31</v>
      </c>
      <c r="C21" s="1" t="s">
        <v>352</v>
      </c>
      <c r="D21" s="13">
        <f t="shared" si="0"/>
        <v>40</v>
      </c>
      <c r="E21">
        <v>400</v>
      </c>
      <c r="F21" s="11">
        <v>380</v>
      </c>
      <c r="G21" s="11">
        <v>380</v>
      </c>
      <c r="J21" s="11">
        <v>270</v>
      </c>
      <c r="K21" s="11">
        <v>270</v>
      </c>
      <c r="O21">
        <v>550</v>
      </c>
      <c r="P21">
        <v>200</v>
      </c>
      <c r="Q21">
        <f t="shared" si="1"/>
        <v>330</v>
      </c>
      <c r="R21">
        <v>350</v>
      </c>
      <c r="T21">
        <v>40</v>
      </c>
      <c r="U21">
        <v>25</v>
      </c>
      <c r="W21">
        <v>135</v>
      </c>
      <c r="Y21">
        <v>110</v>
      </c>
      <c r="AA21" t="s">
        <v>34</v>
      </c>
    </row>
    <row r="22" spans="1:27" x14ac:dyDescent="0.25">
      <c r="A22" t="s">
        <v>30</v>
      </c>
      <c r="B22" t="s">
        <v>31</v>
      </c>
      <c r="C22" s="1" t="s">
        <v>353</v>
      </c>
      <c r="D22" s="13">
        <f t="shared" si="0"/>
        <v>40</v>
      </c>
      <c r="E22">
        <v>400</v>
      </c>
      <c r="F22" s="11">
        <v>380</v>
      </c>
      <c r="G22" s="11">
        <v>380</v>
      </c>
      <c r="J22" s="11">
        <v>270</v>
      </c>
      <c r="K22" s="11">
        <v>270</v>
      </c>
      <c r="O22">
        <v>550</v>
      </c>
      <c r="P22">
        <v>200</v>
      </c>
      <c r="Q22">
        <f t="shared" si="1"/>
        <v>330</v>
      </c>
      <c r="R22">
        <v>350</v>
      </c>
      <c r="T22">
        <v>29</v>
      </c>
      <c r="U22">
        <v>20</v>
      </c>
      <c r="W22">
        <v>135</v>
      </c>
      <c r="Y22">
        <v>110</v>
      </c>
      <c r="AA22" t="s">
        <v>34</v>
      </c>
    </row>
    <row r="23" spans="1:27" x14ac:dyDescent="0.25">
      <c r="A23" t="s">
        <v>30</v>
      </c>
      <c r="B23" t="s">
        <v>31</v>
      </c>
      <c r="C23" s="1" t="s">
        <v>354</v>
      </c>
      <c r="D23" s="13">
        <f t="shared" si="0"/>
        <v>40</v>
      </c>
      <c r="E23">
        <v>400</v>
      </c>
      <c r="F23" s="11">
        <v>380</v>
      </c>
      <c r="G23" s="11">
        <v>380</v>
      </c>
      <c r="J23" s="11">
        <v>270</v>
      </c>
      <c r="K23" s="11">
        <v>270</v>
      </c>
      <c r="O23">
        <v>550</v>
      </c>
      <c r="P23">
        <v>200</v>
      </c>
      <c r="Q23">
        <f t="shared" si="1"/>
        <v>330</v>
      </c>
      <c r="R23">
        <v>350</v>
      </c>
      <c r="T23">
        <v>45</v>
      </c>
      <c r="U23">
        <v>25</v>
      </c>
      <c r="W23">
        <v>135</v>
      </c>
      <c r="Y23">
        <v>110</v>
      </c>
      <c r="AA23" t="s">
        <v>34</v>
      </c>
    </row>
    <row r="24" spans="1:27" x14ac:dyDescent="0.25">
      <c r="A24" t="s">
        <v>30</v>
      </c>
      <c r="B24" t="s">
        <v>31</v>
      </c>
      <c r="C24" s="1" t="s">
        <v>355</v>
      </c>
      <c r="D24" s="13">
        <f t="shared" si="0"/>
        <v>40</v>
      </c>
      <c r="E24">
        <v>400</v>
      </c>
      <c r="F24" s="11">
        <v>380</v>
      </c>
      <c r="G24" s="11">
        <v>380</v>
      </c>
      <c r="J24" s="11">
        <v>270</v>
      </c>
      <c r="K24" s="11">
        <v>270</v>
      </c>
      <c r="O24">
        <v>550</v>
      </c>
      <c r="P24">
        <v>200</v>
      </c>
      <c r="Q24">
        <f t="shared" si="1"/>
        <v>330</v>
      </c>
      <c r="R24">
        <v>350</v>
      </c>
      <c r="T24">
        <v>65</v>
      </c>
      <c r="U24">
        <v>30</v>
      </c>
      <c r="W24">
        <v>135</v>
      </c>
      <c r="Y24">
        <v>110</v>
      </c>
      <c r="AA24" t="s">
        <v>34</v>
      </c>
    </row>
    <row r="25" spans="1:27" x14ac:dyDescent="0.25">
      <c r="A25" t="s">
        <v>30</v>
      </c>
      <c r="B25" t="s">
        <v>31</v>
      </c>
      <c r="C25" s="1" t="s">
        <v>357</v>
      </c>
      <c r="D25" s="13">
        <f t="shared" si="0"/>
        <v>40</v>
      </c>
      <c r="E25">
        <v>400</v>
      </c>
      <c r="F25" s="11">
        <v>380</v>
      </c>
      <c r="G25" s="11">
        <v>380</v>
      </c>
      <c r="J25" s="11">
        <v>270</v>
      </c>
      <c r="K25" s="11">
        <v>270</v>
      </c>
      <c r="O25">
        <v>550</v>
      </c>
      <c r="P25">
        <v>200</v>
      </c>
      <c r="Q25">
        <f t="shared" si="1"/>
        <v>330</v>
      </c>
      <c r="R25">
        <v>350</v>
      </c>
      <c r="T25">
        <v>54</v>
      </c>
      <c r="U25">
        <v>25</v>
      </c>
      <c r="W25">
        <v>135</v>
      </c>
      <c r="Y25">
        <v>110</v>
      </c>
      <c r="AA25" t="s">
        <v>34</v>
      </c>
    </row>
    <row r="26" spans="1:27" x14ac:dyDescent="0.25">
      <c r="A26" t="s">
        <v>30</v>
      </c>
      <c r="B26" t="s">
        <v>31</v>
      </c>
      <c r="C26" s="1" t="s">
        <v>356</v>
      </c>
      <c r="D26" s="13">
        <f t="shared" si="0"/>
        <v>40</v>
      </c>
      <c r="E26">
        <v>400</v>
      </c>
      <c r="F26" s="11">
        <v>380</v>
      </c>
      <c r="G26" s="11">
        <v>380</v>
      </c>
      <c r="J26" s="11">
        <v>270</v>
      </c>
      <c r="K26" s="11">
        <v>270</v>
      </c>
      <c r="O26">
        <v>550</v>
      </c>
      <c r="P26">
        <v>200</v>
      </c>
      <c r="Q26">
        <f t="shared" si="1"/>
        <v>330</v>
      </c>
      <c r="R26">
        <v>350</v>
      </c>
      <c r="T26">
        <v>77</v>
      </c>
      <c r="U26">
        <v>30</v>
      </c>
      <c r="W26">
        <v>135</v>
      </c>
      <c r="Y26">
        <v>110</v>
      </c>
      <c r="AA26" t="s">
        <v>34</v>
      </c>
    </row>
    <row r="27" spans="1:27" x14ac:dyDescent="0.25">
      <c r="A27" t="s">
        <v>30</v>
      </c>
      <c r="B27" t="s">
        <v>31</v>
      </c>
      <c r="C27" s="1" t="s">
        <v>345</v>
      </c>
      <c r="D27" s="13">
        <f t="shared" si="0"/>
        <v>40</v>
      </c>
      <c r="E27">
        <v>400</v>
      </c>
      <c r="F27" s="11">
        <v>380</v>
      </c>
      <c r="G27" s="11">
        <v>380</v>
      </c>
      <c r="J27" s="11">
        <v>270</v>
      </c>
      <c r="K27" s="11">
        <v>270</v>
      </c>
      <c r="O27">
        <v>550</v>
      </c>
      <c r="P27">
        <v>200</v>
      </c>
      <c r="Q27">
        <f t="shared" si="1"/>
        <v>330</v>
      </c>
      <c r="R27">
        <v>350</v>
      </c>
      <c r="T27">
        <v>105</v>
      </c>
      <c r="U27">
        <v>35</v>
      </c>
      <c r="W27">
        <v>135</v>
      </c>
      <c r="Y27">
        <v>110</v>
      </c>
      <c r="AA27" t="s">
        <v>34</v>
      </c>
    </row>
    <row r="28" spans="1:27" x14ac:dyDescent="0.25">
      <c r="A28" t="s">
        <v>30</v>
      </c>
      <c r="B28" t="s">
        <v>31</v>
      </c>
      <c r="C28" s="1" t="s">
        <v>319</v>
      </c>
      <c r="D28" s="13">
        <v>50</v>
      </c>
      <c r="E28">
        <f t="shared" ref="E28:E33" si="2">D28*10</f>
        <v>500</v>
      </c>
      <c r="F28" s="11">
        <v>446</v>
      </c>
      <c r="G28" s="11">
        <v>446</v>
      </c>
      <c r="J28" s="11">
        <v>320</v>
      </c>
      <c r="K28" s="11">
        <v>320</v>
      </c>
      <c r="O28">
        <v>550</v>
      </c>
      <c r="P28">
        <v>200</v>
      </c>
      <c r="Q28">
        <f t="shared" si="1"/>
        <v>330</v>
      </c>
      <c r="R28">
        <v>350</v>
      </c>
      <c r="T28">
        <v>29</v>
      </c>
      <c r="U28">
        <v>20</v>
      </c>
      <c r="W28">
        <v>180</v>
      </c>
      <c r="X28">
        <v>125</v>
      </c>
      <c r="AA28" t="s">
        <v>316</v>
      </c>
    </row>
    <row r="29" spans="1:27" x14ac:dyDescent="0.25">
      <c r="A29" t="s">
        <v>30</v>
      </c>
      <c r="B29" t="s">
        <v>31</v>
      </c>
      <c r="C29" s="1" t="s">
        <v>319</v>
      </c>
      <c r="D29" s="13">
        <v>50</v>
      </c>
      <c r="E29">
        <f t="shared" si="2"/>
        <v>500</v>
      </c>
      <c r="F29" s="11">
        <v>446</v>
      </c>
      <c r="G29" s="11">
        <v>446</v>
      </c>
      <c r="J29" s="11">
        <v>320</v>
      </c>
      <c r="K29" s="11">
        <v>320</v>
      </c>
      <c r="O29">
        <v>550</v>
      </c>
      <c r="P29">
        <v>200</v>
      </c>
      <c r="Q29">
        <f t="shared" si="1"/>
        <v>330</v>
      </c>
      <c r="R29">
        <v>350</v>
      </c>
      <c r="T29">
        <v>45</v>
      </c>
      <c r="U29">
        <v>25</v>
      </c>
      <c r="W29">
        <v>180</v>
      </c>
      <c r="X29">
        <v>125</v>
      </c>
      <c r="AA29" t="s">
        <v>316</v>
      </c>
    </row>
    <row r="30" spans="1:27" x14ac:dyDescent="0.25">
      <c r="A30" t="s">
        <v>30</v>
      </c>
      <c r="B30" t="s">
        <v>31</v>
      </c>
      <c r="C30" s="1" t="s">
        <v>319</v>
      </c>
      <c r="D30" s="13">
        <v>50</v>
      </c>
      <c r="E30">
        <f t="shared" si="2"/>
        <v>500</v>
      </c>
      <c r="F30" s="11">
        <v>446</v>
      </c>
      <c r="G30" s="11">
        <v>446</v>
      </c>
      <c r="J30" s="11">
        <v>320</v>
      </c>
      <c r="K30" s="11">
        <v>320</v>
      </c>
      <c r="O30">
        <v>550</v>
      </c>
      <c r="P30">
        <v>200</v>
      </c>
      <c r="Q30">
        <f t="shared" si="1"/>
        <v>330</v>
      </c>
      <c r="R30">
        <v>350</v>
      </c>
      <c r="T30">
        <v>65</v>
      </c>
      <c r="U30">
        <v>30</v>
      </c>
      <c r="W30">
        <v>180</v>
      </c>
      <c r="X30">
        <v>125</v>
      </c>
      <c r="AA30" t="s">
        <v>316</v>
      </c>
    </row>
    <row r="31" spans="1:27" x14ac:dyDescent="0.25">
      <c r="A31" t="s">
        <v>30</v>
      </c>
      <c r="B31" t="s">
        <v>31</v>
      </c>
      <c r="C31" s="1" t="s">
        <v>320</v>
      </c>
      <c r="D31" s="13">
        <v>50</v>
      </c>
      <c r="E31">
        <f t="shared" si="2"/>
        <v>500</v>
      </c>
      <c r="F31" s="11">
        <v>446</v>
      </c>
      <c r="G31" s="11">
        <v>446</v>
      </c>
      <c r="J31" s="11">
        <v>320</v>
      </c>
      <c r="K31" s="11">
        <v>320</v>
      </c>
      <c r="O31">
        <v>550</v>
      </c>
      <c r="P31">
        <v>200</v>
      </c>
      <c r="Q31">
        <f t="shared" si="1"/>
        <v>330</v>
      </c>
      <c r="R31">
        <v>350</v>
      </c>
      <c r="T31">
        <v>54</v>
      </c>
      <c r="U31">
        <v>25</v>
      </c>
      <c r="W31">
        <v>180</v>
      </c>
      <c r="X31">
        <v>125</v>
      </c>
      <c r="AA31" t="s">
        <v>316</v>
      </c>
    </row>
    <row r="32" spans="1:27" x14ac:dyDescent="0.25">
      <c r="A32" t="s">
        <v>30</v>
      </c>
      <c r="B32" t="s">
        <v>31</v>
      </c>
      <c r="C32" s="1" t="s">
        <v>320</v>
      </c>
      <c r="D32" s="13">
        <v>50</v>
      </c>
      <c r="E32">
        <f t="shared" si="2"/>
        <v>500</v>
      </c>
      <c r="F32" s="11">
        <v>446</v>
      </c>
      <c r="G32" s="11">
        <v>446</v>
      </c>
      <c r="J32" s="11">
        <v>320</v>
      </c>
      <c r="K32" s="11">
        <v>320</v>
      </c>
      <c r="O32">
        <v>550</v>
      </c>
      <c r="P32">
        <v>200</v>
      </c>
      <c r="Q32">
        <f t="shared" si="1"/>
        <v>330</v>
      </c>
      <c r="R32">
        <v>350</v>
      </c>
      <c r="T32">
        <v>77</v>
      </c>
      <c r="U32">
        <v>30</v>
      </c>
      <c r="W32">
        <v>180</v>
      </c>
      <c r="X32">
        <v>125</v>
      </c>
      <c r="AA32" t="s">
        <v>316</v>
      </c>
    </row>
    <row r="33" spans="1:27" x14ac:dyDescent="0.25">
      <c r="A33" t="s">
        <v>30</v>
      </c>
      <c r="B33" t="s">
        <v>31</v>
      </c>
      <c r="C33" s="1" t="s">
        <v>320</v>
      </c>
      <c r="D33" s="13">
        <v>50</v>
      </c>
      <c r="E33">
        <f t="shared" si="2"/>
        <v>500</v>
      </c>
      <c r="F33" s="11">
        <v>446</v>
      </c>
      <c r="G33" s="11">
        <v>446</v>
      </c>
      <c r="J33" s="11">
        <v>320</v>
      </c>
      <c r="K33" s="11">
        <v>320</v>
      </c>
      <c r="O33">
        <v>550</v>
      </c>
      <c r="P33">
        <v>200</v>
      </c>
      <c r="Q33">
        <f t="shared" si="1"/>
        <v>330</v>
      </c>
      <c r="R33">
        <v>350</v>
      </c>
      <c r="T33">
        <v>105</v>
      </c>
      <c r="U33">
        <v>35</v>
      </c>
      <c r="W33">
        <v>180</v>
      </c>
      <c r="X33">
        <v>125</v>
      </c>
      <c r="AA33" t="s">
        <v>316</v>
      </c>
    </row>
    <row r="34" spans="1:27" x14ac:dyDescent="0.25">
      <c r="A34" t="s">
        <v>30</v>
      </c>
      <c r="B34" t="s">
        <v>31</v>
      </c>
      <c r="C34" s="1" t="s">
        <v>35</v>
      </c>
      <c r="D34" s="13">
        <v>50</v>
      </c>
      <c r="E34">
        <v>500</v>
      </c>
      <c r="F34" s="11">
        <v>446</v>
      </c>
      <c r="G34" s="11">
        <v>446</v>
      </c>
      <c r="J34" s="11">
        <v>320</v>
      </c>
      <c r="K34" s="11">
        <v>320</v>
      </c>
      <c r="O34">
        <v>575</v>
      </c>
      <c r="P34">
        <v>225</v>
      </c>
      <c r="Q34">
        <v>400</v>
      </c>
      <c r="R34">
        <v>350</v>
      </c>
      <c r="T34">
        <v>18</v>
      </c>
      <c r="U34">
        <v>18</v>
      </c>
      <c r="V34">
        <v>2150</v>
      </c>
      <c r="W34">
        <v>180</v>
      </c>
      <c r="X34">
        <v>125</v>
      </c>
      <c r="AA34" t="s">
        <v>36</v>
      </c>
    </row>
    <row r="35" spans="1:27" x14ac:dyDescent="0.25">
      <c r="A35" t="s">
        <v>30</v>
      </c>
      <c r="B35" t="s">
        <v>31</v>
      </c>
      <c r="C35" s="1" t="s">
        <v>35</v>
      </c>
      <c r="D35" s="13">
        <v>50</v>
      </c>
      <c r="E35">
        <v>500</v>
      </c>
      <c r="F35" s="11">
        <v>446</v>
      </c>
      <c r="G35" s="11">
        <v>446</v>
      </c>
      <c r="J35" s="11">
        <v>320</v>
      </c>
      <c r="K35" s="11">
        <v>320</v>
      </c>
      <c r="O35">
        <v>575</v>
      </c>
      <c r="P35">
        <v>225</v>
      </c>
      <c r="Q35">
        <v>400</v>
      </c>
      <c r="R35">
        <v>350</v>
      </c>
      <c r="T35">
        <v>27</v>
      </c>
      <c r="U35">
        <v>22</v>
      </c>
      <c r="V35">
        <v>2150</v>
      </c>
      <c r="W35">
        <v>180</v>
      </c>
      <c r="X35">
        <v>125</v>
      </c>
      <c r="AA35" t="s">
        <v>36</v>
      </c>
    </row>
    <row r="36" spans="1:27" x14ac:dyDescent="0.25">
      <c r="A36" t="s">
        <v>30</v>
      </c>
      <c r="B36" t="s">
        <v>31</v>
      </c>
      <c r="C36" s="1" t="s">
        <v>37</v>
      </c>
      <c r="D36" s="13">
        <v>50</v>
      </c>
      <c r="E36">
        <v>500</v>
      </c>
      <c r="F36" s="11">
        <v>446</v>
      </c>
      <c r="G36" s="11">
        <v>446</v>
      </c>
      <c r="J36" s="11">
        <v>320</v>
      </c>
      <c r="K36" s="11">
        <v>320</v>
      </c>
      <c r="O36">
        <v>575</v>
      </c>
      <c r="P36">
        <v>225</v>
      </c>
      <c r="Q36">
        <v>400</v>
      </c>
      <c r="R36">
        <v>350</v>
      </c>
      <c r="T36">
        <v>37</v>
      </c>
      <c r="U36">
        <v>25</v>
      </c>
      <c r="V36">
        <v>2150</v>
      </c>
      <c r="W36">
        <v>180</v>
      </c>
      <c r="X36">
        <v>125</v>
      </c>
      <c r="AA36" t="s">
        <v>38</v>
      </c>
    </row>
    <row r="37" spans="1:27" x14ac:dyDescent="0.25">
      <c r="A37" t="s">
        <v>30</v>
      </c>
      <c r="B37" t="s">
        <v>31</v>
      </c>
      <c r="C37" s="1" t="s">
        <v>471</v>
      </c>
      <c r="D37" s="13">
        <v>50</v>
      </c>
      <c r="E37">
        <v>500</v>
      </c>
      <c r="F37" s="11">
        <v>510</v>
      </c>
      <c r="G37" s="11">
        <v>510</v>
      </c>
      <c r="J37" s="11">
        <v>370</v>
      </c>
      <c r="K37" s="11">
        <v>370</v>
      </c>
      <c r="O37">
        <v>600</v>
      </c>
      <c r="P37">
        <v>200</v>
      </c>
      <c r="Q37">
        <f t="shared" ref="Q37:Q63" si="3">O37*0.6</f>
        <v>360</v>
      </c>
      <c r="R37">
        <v>400</v>
      </c>
      <c r="T37">
        <v>29</v>
      </c>
      <c r="U37">
        <v>20</v>
      </c>
      <c r="W37">
        <v>360</v>
      </c>
      <c r="X37">
        <v>125</v>
      </c>
      <c r="Y37">
        <v>125</v>
      </c>
      <c r="AA37" t="s">
        <v>39</v>
      </c>
    </row>
    <row r="38" spans="1:27" x14ac:dyDescent="0.25">
      <c r="A38" t="s">
        <v>30</v>
      </c>
      <c r="B38" t="s">
        <v>31</v>
      </c>
      <c r="C38" s="1" t="s">
        <v>472</v>
      </c>
      <c r="D38" s="13">
        <v>50</v>
      </c>
      <c r="E38">
        <v>500</v>
      </c>
      <c r="F38" s="11">
        <v>510</v>
      </c>
      <c r="G38" s="11">
        <v>510</v>
      </c>
      <c r="J38" s="11">
        <v>370</v>
      </c>
      <c r="K38" s="11">
        <v>370</v>
      </c>
      <c r="O38">
        <v>600</v>
      </c>
      <c r="P38">
        <v>200</v>
      </c>
      <c r="Q38">
        <f t="shared" si="3"/>
        <v>360</v>
      </c>
      <c r="R38">
        <v>400</v>
      </c>
      <c r="T38">
        <v>45</v>
      </c>
      <c r="U38">
        <v>25</v>
      </c>
      <c r="W38">
        <v>360</v>
      </c>
      <c r="X38">
        <v>125</v>
      </c>
      <c r="Y38">
        <v>125</v>
      </c>
      <c r="AA38" t="s">
        <v>39</v>
      </c>
    </row>
    <row r="39" spans="1:27" x14ac:dyDescent="0.25">
      <c r="A39" t="s">
        <v>30</v>
      </c>
      <c r="B39" t="s">
        <v>31</v>
      </c>
      <c r="C39" s="1" t="s">
        <v>473</v>
      </c>
      <c r="D39" s="13">
        <v>50</v>
      </c>
      <c r="E39">
        <v>500</v>
      </c>
      <c r="F39" s="11">
        <v>510</v>
      </c>
      <c r="G39" s="11">
        <v>510</v>
      </c>
      <c r="J39" s="11">
        <v>370</v>
      </c>
      <c r="K39" s="11">
        <v>370</v>
      </c>
      <c r="O39">
        <v>600</v>
      </c>
      <c r="P39">
        <v>200</v>
      </c>
      <c r="Q39">
        <f t="shared" si="3"/>
        <v>360</v>
      </c>
      <c r="R39">
        <v>400</v>
      </c>
      <c r="T39">
        <v>65</v>
      </c>
      <c r="U39">
        <v>30</v>
      </c>
      <c r="W39">
        <v>360</v>
      </c>
      <c r="X39">
        <v>125</v>
      </c>
      <c r="Y39">
        <v>125</v>
      </c>
      <c r="AA39" t="s">
        <v>39</v>
      </c>
    </row>
    <row r="40" spans="1:27" x14ac:dyDescent="0.25">
      <c r="A40" t="s">
        <v>30</v>
      </c>
      <c r="B40" t="s">
        <v>31</v>
      </c>
      <c r="C40" s="1" t="s">
        <v>475</v>
      </c>
      <c r="D40" s="13">
        <v>50</v>
      </c>
      <c r="E40">
        <v>500</v>
      </c>
      <c r="F40" s="11">
        <v>510</v>
      </c>
      <c r="G40" s="11">
        <v>510</v>
      </c>
      <c r="J40" s="11">
        <v>370</v>
      </c>
      <c r="K40" s="11">
        <v>370</v>
      </c>
      <c r="O40">
        <v>600</v>
      </c>
      <c r="P40">
        <v>200</v>
      </c>
      <c r="Q40">
        <f t="shared" si="3"/>
        <v>360</v>
      </c>
      <c r="R40">
        <v>400</v>
      </c>
      <c r="T40">
        <v>54</v>
      </c>
      <c r="U40">
        <v>25</v>
      </c>
      <c r="W40">
        <v>360</v>
      </c>
      <c r="X40">
        <v>125</v>
      </c>
      <c r="Y40">
        <v>125</v>
      </c>
      <c r="AA40" t="s">
        <v>39</v>
      </c>
    </row>
    <row r="41" spans="1:27" x14ac:dyDescent="0.25">
      <c r="A41" t="s">
        <v>30</v>
      </c>
      <c r="B41" t="s">
        <v>31</v>
      </c>
      <c r="C41" s="1" t="s">
        <v>474</v>
      </c>
      <c r="D41" s="13">
        <v>50</v>
      </c>
      <c r="E41">
        <v>500</v>
      </c>
      <c r="F41" s="11">
        <v>510</v>
      </c>
      <c r="G41" s="11">
        <v>510</v>
      </c>
      <c r="J41" s="11">
        <v>370</v>
      </c>
      <c r="K41" s="11">
        <v>370</v>
      </c>
      <c r="O41">
        <v>600</v>
      </c>
      <c r="P41">
        <v>200</v>
      </c>
      <c r="Q41">
        <f t="shared" si="3"/>
        <v>360</v>
      </c>
      <c r="R41">
        <v>400</v>
      </c>
      <c r="T41">
        <v>77</v>
      </c>
      <c r="U41">
        <v>30</v>
      </c>
      <c r="W41">
        <v>360</v>
      </c>
      <c r="X41">
        <v>125</v>
      </c>
      <c r="Y41">
        <v>125</v>
      </c>
      <c r="AA41" t="s">
        <v>39</v>
      </c>
    </row>
    <row r="42" spans="1:27" x14ac:dyDescent="0.25">
      <c r="A42" t="s">
        <v>30</v>
      </c>
      <c r="B42" t="s">
        <v>31</v>
      </c>
      <c r="C42" s="1" t="s">
        <v>476</v>
      </c>
      <c r="D42" s="13">
        <v>50</v>
      </c>
      <c r="E42">
        <v>500</v>
      </c>
      <c r="F42" s="11">
        <v>510</v>
      </c>
      <c r="G42" s="11">
        <v>510</v>
      </c>
      <c r="J42" s="11">
        <v>370</v>
      </c>
      <c r="K42" s="11">
        <v>370</v>
      </c>
      <c r="O42">
        <v>600</v>
      </c>
      <c r="P42">
        <v>200</v>
      </c>
      <c r="Q42">
        <f t="shared" si="3"/>
        <v>360</v>
      </c>
      <c r="R42">
        <v>400</v>
      </c>
      <c r="T42">
        <v>105</v>
      </c>
      <c r="U42">
        <v>35</v>
      </c>
      <c r="W42">
        <v>360</v>
      </c>
      <c r="X42">
        <v>125</v>
      </c>
      <c r="Y42">
        <v>125</v>
      </c>
      <c r="AA42" t="s">
        <v>39</v>
      </c>
    </row>
    <row r="43" spans="1:27" x14ac:dyDescent="0.25">
      <c r="A43" t="s">
        <v>30</v>
      </c>
      <c r="B43" t="s">
        <v>31</v>
      </c>
      <c r="C43" s="1" t="s">
        <v>477</v>
      </c>
      <c r="D43" s="13">
        <v>50</v>
      </c>
      <c r="E43">
        <v>500</v>
      </c>
      <c r="F43" s="11">
        <v>510</v>
      </c>
      <c r="G43" s="11">
        <v>510</v>
      </c>
      <c r="J43" s="11">
        <v>370</v>
      </c>
      <c r="K43" s="11">
        <v>370</v>
      </c>
      <c r="O43">
        <v>600</v>
      </c>
      <c r="P43">
        <v>200</v>
      </c>
      <c r="Q43">
        <f t="shared" si="3"/>
        <v>360</v>
      </c>
      <c r="R43">
        <v>400</v>
      </c>
      <c r="T43">
        <v>97</v>
      </c>
      <c r="U43">
        <v>30</v>
      </c>
      <c r="W43">
        <v>360</v>
      </c>
      <c r="X43">
        <v>125</v>
      </c>
      <c r="Y43">
        <v>125</v>
      </c>
      <c r="AA43" t="s">
        <v>39</v>
      </c>
    </row>
    <row r="44" spans="1:27" x14ac:dyDescent="0.25">
      <c r="A44" t="s">
        <v>30</v>
      </c>
      <c r="B44" t="s">
        <v>31</v>
      </c>
      <c r="C44" s="1" t="s">
        <v>478</v>
      </c>
      <c r="D44" s="13">
        <v>50</v>
      </c>
      <c r="E44">
        <v>500</v>
      </c>
      <c r="F44" s="11">
        <v>510</v>
      </c>
      <c r="G44" s="11">
        <v>510</v>
      </c>
      <c r="J44" s="11">
        <v>370</v>
      </c>
      <c r="K44" s="11">
        <v>370</v>
      </c>
      <c r="O44">
        <v>600</v>
      </c>
      <c r="P44">
        <v>200</v>
      </c>
      <c r="Q44">
        <f t="shared" si="3"/>
        <v>360</v>
      </c>
      <c r="R44">
        <v>400</v>
      </c>
      <c r="T44">
        <v>132</v>
      </c>
      <c r="U44">
        <v>35</v>
      </c>
      <c r="W44">
        <v>360</v>
      </c>
      <c r="X44">
        <v>125</v>
      </c>
      <c r="Y44">
        <v>125</v>
      </c>
      <c r="AA44" t="s">
        <v>39</v>
      </c>
    </row>
    <row r="45" spans="1:27" x14ac:dyDescent="0.25">
      <c r="A45" t="s">
        <v>30</v>
      </c>
      <c r="B45" t="s">
        <v>31</v>
      </c>
      <c r="C45" s="1" t="s">
        <v>479</v>
      </c>
      <c r="D45" s="13">
        <v>50</v>
      </c>
      <c r="E45">
        <v>500</v>
      </c>
      <c r="F45" s="11">
        <v>510</v>
      </c>
      <c r="G45" s="11">
        <v>510</v>
      </c>
      <c r="J45" s="11">
        <v>370</v>
      </c>
      <c r="K45" s="11">
        <v>370</v>
      </c>
      <c r="O45">
        <v>600</v>
      </c>
      <c r="P45">
        <v>200</v>
      </c>
      <c r="Q45">
        <f t="shared" si="3"/>
        <v>360</v>
      </c>
      <c r="R45">
        <v>400</v>
      </c>
      <c r="T45">
        <v>172</v>
      </c>
      <c r="U45">
        <v>40</v>
      </c>
      <c r="W45">
        <v>360</v>
      </c>
      <c r="X45">
        <v>125</v>
      </c>
      <c r="Y45">
        <v>125</v>
      </c>
      <c r="AA45" t="s">
        <v>39</v>
      </c>
    </row>
    <row r="46" spans="1:27" x14ac:dyDescent="0.25">
      <c r="A46" t="s">
        <v>30</v>
      </c>
      <c r="B46" t="s">
        <v>31</v>
      </c>
      <c r="C46" s="1" t="s">
        <v>480</v>
      </c>
      <c r="D46" s="13">
        <v>60</v>
      </c>
      <c r="E46">
        <v>600</v>
      </c>
      <c r="F46" s="11">
        <v>510</v>
      </c>
      <c r="G46" s="11">
        <v>510</v>
      </c>
      <c r="J46" s="11">
        <v>370</v>
      </c>
      <c r="K46" s="11">
        <v>370</v>
      </c>
      <c r="O46">
        <v>600</v>
      </c>
      <c r="P46">
        <v>200</v>
      </c>
      <c r="Q46">
        <f t="shared" si="3"/>
        <v>360</v>
      </c>
      <c r="R46">
        <v>400</v>
      </c>
      <c r="T46">
        <v>29</v>
      </c>
      <c r="U46">
        <v>20</v>
      </c>
      <c r="W46">
        <v>360</v>
      </c>
      <c r="X46">
        <v>125</v>
      </c>
      <c r="Y46">
        <v>125</v>
      </c>
      <c r="AA46" t="s">
        <v>39</v>
      </c>
    </row>
    <row r="47" spans="1:27" x14ac:dyDescent="0.25">
      <c r="A47" t="s">
        <v>30</v>
      </c>
      <c r="B47" t="s">
        <v>31</v>
      </c>
      <c r="C47" s="1" t="s">
        <v>481</v>
      </c>
      <c r="D47" s="13">
        <v>60</v>
      </c>
      <c r="E47">
        <v>600</v>
      </c>
      <c r="F47" s="11">
        <v>510</v>
      </c>
      <c r="G47" s="11">
        <v>510</v>
      </c>
      <c r="J47" s="11">
        <v>370</v>
      </c>
      <c r="K47" s="11">
        <v>370</v>
      </c>
      <c r="O47">
        <v>600</v>
      </c>
      <c r="P47">
        <v>200</v>
      </c>
      <c r="Q47">
        <f t="shared" si="3"/>
        <v>360</v>
      </c>
      <c r="R47">
        <v>400</v>
      </c>
      <c r="T47">
        <v>45</v>
      </c>
      <c r="U47">
        <v>25</v>
      </c>
      <c r="W47">
        <v>360</v>
      </c>
      <c r="X47">
        <v>125</v>
      </c>
      <c r="Y47">
        <v>125</v>
      </c>
      <c r="AA47" t="s">
        <v>39</v>
      </c>
    </row>
    <row r="48" spans="1:27" x14ac:dyDescent="0.25">
      <c r="A48" t="s">
        <v>30</v>
      </c>
      <c r="B48" t="s">
        <v>31</v>
      </c>
      <c r="C48" s="1" t="s">
        <v>482</v>
      </c>
      <c r="D48" s="13">
        <v>60</v>
      </c>
      <c r="E48">
        <v>600</v>
      </c>
      <c r="F48" s="11">
        <v>510</v>
      </c>
      <c r="G48" s="11">
        <v>510</v>
      </c>
      <c r="J48" s="11">
        <v>370</v>
      </c>
      <c r="K48" s="11">
        <v>370</v>
      </c>
      <c r="O48">
        <v>600</v>
      </c>
      <c r="P48">
        <v>200</v>
      </c>
      <c r="Q48">
        <f t="shared" si="3"/>
        <v>360</v>
      </c>
      <c r="R48">
        <v>400</v>
      </c>
      <c r="T48">
        <v>65</v>
      </c>
      <c r="U48">
        <v>30</v>
      </c>
      <c r="W48">
        <v>360</v>
      </c>
      <c r="X48">
        <v>125</v>
      </c>
      <c r="Y48">
        <v>125</v>
      </c>
      <c r="AA48" t="s">
        <v>39</v>
      </c>
    </row>
    <row r="49" spans="1:27" x14ac:dyDescent="0.25">
      <c r="A49" t="s">
        <v>30</v>
      </c>
      <c r="B49" t="s">
        <v>31</v>
      </c>
      <c r="C49" s="1" t="s">
        <v>483</v>
      </c>
      <c r="D49" s="13">
        <v>60</v>
      </c>
      <c r="E49">
        <v>600</v>
      </c>
      <c r="F49" s="11">
        <v>510</v>
      </c>
      <c r="G49" s="11">
        <v>510</v>
      </c>
      <c r="J49" s="11">
        <v>370</v>
      </c>
      <c r="K49" s="11">
        <v>370</v>
      </c>
      <c r="O49">
        <v>600</v>
      </c>
      <c r="P49">
        <v>200</v>
      </c>
      <c r="Q49">
        <f t="shared" si="3"/>
        <v>360</v>
      </c>
      <c r="R49">
        <v>400</v>
      </c>
      <c r="T49">
        <v>54</v>
      </c>
      <c r="U49">
        <v>25</v>
      </c>
      <c r="W49">
        <v>360</v>
      </c>
      <c r="X49">
        <v>125</v>
      </c>
      <c r="Y49">
        <v>125</v>
      </c>
      <c r="AA49" t="s">
        <v>39</v>
      </c>
    </row>
    <row r="50" spans="1:27" x14ac:dyDescent="0.25">
      <c r="A50" t="s">
        <v>30</v>
      </c>
      <c r="B50" t="s">
        <v>31</v>
      </c>
      <c r="C50" s="1" t="s">
        <v>484</v>
      </c>
      <c r="D50" s="13">
        <v>60</v>
      </c>
      <c r="E50">
        <v>600</v>
      </c>
      <c r="F50" s="11">
        <v>510</v>
      </c>
      <c r="G50" s="11">
        <v>510</v>
      </c>
      <c r="J50" s="11">
        <v>370</v>
      </c>
      <c r="K50" s="11">
        <v>370</v>
      </c>
      <c r="O50">
        <v>600</v>
      </c>
      <c r="P50">
        <v>200</v>
      </c>
      <c r="Q50">
        <f t="shared" si="3"/>
        <v>360</v>
      </c>
      <c r="R50">
        <v>400</v>
      </c>
      <c r="T50">
        <v>77</v>
      </c>
      <c r="U50">
        <v>30</v>
      </c>
      <c r="W50">
        <v>360</v>
      </c>
      <c r="X50">
        <v>125</v>
      </c>
      <c r="Y50">
        <v>125</v>
      </c>
      <c r="AA50" t="s">
        <v>39</v>
      </c>
    </row>
    <row r="51" spans="1:27" x14ac:dyDescent="0.25">
      <c r="A51" t="s">
        <v>30</v>
      </c>
      <c r="B51" t="s">
        <v>31</v>
      </c>
      <c r="C51" s="1" t="s">
        <v>485</v>
      </c>
      <c r="D51" s="13">
        <v>60</v>
      </c>
      <c r="E51">
        <v>600</v>
      </c>
      <c r="F51" s="11">
        <v>510</v>
      </c>
      <c r="G51" s="11">
        <v>510</v>
      </c>
      <c r="J51" s="11">
        <v>370</v>
      </c>
      <c r="K51" s="11">
        <v>370</v>
      </c>
      <c r="O51">
        <v>600</v>
      </c>
      <c r="P51">
        <v>200</v>
      </c>
      <c r="Q51">
        <f t="shared" si="3"/>
        <v>360</v>
      </c>
      <c r="R51">
        <v>400</v>
      </c>
      <c r="T51">
        <v>105</v>
      </c>
      <c r="U51">
        <v>35</v>
      </c>
      <c r="W51">
        <v>360</v>
      </c>
      <c r="X51">
        <v>125</v>
      </c>
      <c r="Y51">
        <v>125</v>
      </c>
      <c r="AA51" t="s">
        <v>39</v>
      </c>
    </row>
    <row r="52" spans="1:27" x14ac:dyDescent="0.25">
      <c r="A52" t="s">
        <v>30</v>
      </c>
      <c r="B52" t="s">
        <v>31</v>
      </c>
      <c r="C52" s="1" t="s">
        <v>486</v>
      </c>
      <c r="D52" s="13">
        <v>60</v>
      </c>
      <c r="E52">
        <v>600</v>
      </c>
      <c r="F52" s="11">
        <v>510</v>
      </c>
      <c r="G52" s="11">
        <v>510</v>
      </c>
      <c r="J52" s="11">
        <v>370</v>
      </c>
      <c r="K52" s="11">
        <v>370</v>
      </c>
      <c r="O52">
        <v>600</v>
      </c>
      <c r="P52">
        <v>200</v>
      </c>
      <c r="Q52">
        <f t="shared" si="3"/>
        <v>360</v>
      </c>
      <c r="R52">
        <v>400</v>
      </c>
      <c r="T52">
        <v>97</v>
      </c>
      <c r="U52">
        <v>30</v>
      </c>
      <c r="W52">
        <v>360</v>
      </c>
      <c r="X52">
        <v>125</v>
      </c>
      <c r="Y52">
        <v>125</v>
      </c>
      <c r="AA52" t="s">
        <v>39</v>
      </c>
    </row>
    <row r="53" spans="1:27" x14ac:dyDescent="0.25">
      <c r="A53" t="s">
        <v>30</v>
      </c>
      <c r="B53" t="s">
        <v>31</v>
      </c>
      <c r="C53" s="1" t="s">
        <v>487</v>
      </c>
      <c r="D53" s="13">
        <v>60</v>
      </c>
      <c r="E53">
        <v>600</v>
      </c>
      <c r="F53" s="11">
        <v>510</v>
      </c>
      <c r="G53" s="11">
        <v>510</v>
      </c>
      <c r="J53" s="11">
        <v>370</v>
      </c>
      <c r="K53" s="11">
        <v>370</v>
      </c>
      <c r="O53">
        <v>600</v>
      </c>
      <c r="P53">
        <v>200</v>
      </c>
      <c r="Q53">
        <f t="shared" si="3"/>
        <v>360</v>
      </c>
      <c r="R53">
        <v>400</v>
      </c>
      <c r="T53">
        <v>132</v>
      </c>
      <c r="U53">
        <v>35</v>
      </c>
      <c r="W53">
        <v>360</v>
      </c>
      <c r="X53">
        <v>125</v>
      </c>
      <c r="Y53">
        <v>125</v>
      </c>
      <c r="AA53" t="s">
        <v>39</v>
      </c>
    </row>
    <row r="54" spans="1:27" x14ac:dyDescent="0.25">
      <c r="A54" t="s">
        <v>30</v>
      </c>
      <c r="B54" t="s">
        <v>31</v>
      </c>
      <c r="C54" s="1" t="s">
        <v>488</v>
      </c>
      <c r="D54" s="13">
        <v>60</v>
      </c>
      <c r="E54">
        <v>600</v>
      </c>
      <c r="F54" s="11">
        <v>510</v>
      </c>
      <c r="G54" s="11">
        <v>510</v>
      </c>
      <c r="J54" s="11">
        <v>370</v>
      </c>
      <c r="K54" s="11">
        <v>370</v>
      </c>
      <c r="O54">
        <v>600</v>
      </c>
      <c r="P54">
        <v>200</v>
      </c>
      <c r="Q54">
        <f t="shared" si="3"/>
        <v>360</v>
      </c>
      <c r="R54">
        <v>400</v>
      </c>
      <c r="T54">
        <v>172</v>
      </c>
      <c r="U54">
        <v>40</v>
      </c>
      <c r="W54">
        <v>360</v>
      </c>
      <c r="X54">
        <v>125</v>
      </c>
      <c r="Y54">
        <v>125</v>
      </c>
      <c r="AA54" t="s">
        <v>39</v>
      </c>
    </row>
    <row r="55" spans="1:27" x14ac:dyDescent="0.25">
      <c r="A55" t="s">
        <v>30</v>
      </c>
      <c r="B55" t="s">
        <v>31</v>
      </c>
      <c r="C55" s="1" t="s">
        <v>489</v>
      </c>
      <c r="D55" s="13">
        <v>70</v>
      </c>
      <c r="E55">
        <v>700</v>
      </c>
      <c r="F55" s="11">
        <v>510</v>
      </c>
      <c r="G55" s="11">
        <v>510</v>
      </c>
      <c r="J55" s="11">
        <v>370</v>
      </c>
      <c r="K55" s="11">
        <v>370</v>
      </c>
      <c r="O55">
        <v>600</v>
      </c>
      <c r="P55">
        <v>200</v>
      </c>
      <c r="Q55">
        <f t="shared" si="3"/>
        <v>360</v>
      </c>
      <c r="R55">
        <v>400</v>
      </c>
      <c r="T55">
        <v>29</v>
      </c>
      <c r="U55">
        <v>20</v>
      </c>
      <c r="W55">
        <v>360</v>
      </c>
      <c r="X55">
        <v>125</v>
      </c>
      <c r="Y55">
        <v>125</v>
      </c>
      <c r="AA55" t="s">
        <v>39</v>
      </c>
    </row>
    <row r="56" spans="1:27" x14ac:dyDescent="0.25">
      <c r="A56" t="s">
        <v>30</v>
      </c>
      <c r="B56" t="s">
        <v>31</v>
      </c>
      <c r="C56" s="1" t="s">
        <v>490</v>
      </c>
      <c r="D56" s="13">
        <v>70</v>
      </c>
      <c r="E56">
        <v>700</v>
      </c>
      <c r="F56" s="11">
        <v>510</v>
      </c>
      <c r="G56" s="11">
        <v>510</v>
      </c>
      <c r="J56" s="11">
        <v>370</v>
      </c>
      <c r="K56" s="11">
        <v>370</v>
      </c>
      <c r="O56">
        <v>600</v>
      </c>
      <c r="P56">
        <v>200</v>
      </c>
      <c r="Q56">
        <f t="shared" si="3"/>
        <v>360</v>
      </c>
      <c r="R56">
        <v>400</v>
      </c>
      <c r="T56">
        <v>45</v>
      </c>
      <c r="U56">
        <v>25</v>
      </c>
      <c r="W56">
        <v>360</v>
      </c>
      <c r="X56">
        <v>125</v>
      </c>
      <c r="Y56">
        <v>125</v>
      </c>
      <c r="AA56" t="s">
        <v>39</v>
      </c>
    </row>
    <row r="57" spans="1:27" x14ac:dyDescent="0.25">
      <c r="A57" t="s">
        <v>30</v>
      </c>
      <c r="B57" t="s">
        <v>31</v>
      </c>
      <c r="C57" s="1" t="s">
        <v>491</v>
      </c>
      <c r="D57" s="13">
        <v>70</v>
      </c>
      <c r="E57">
        <v>700</v>
      </c>
      <c r="F57" s="11">
        <v>510</v>
      </c>
      <c r="G57" s="11">
        <v>510</v>
      </c>
      <c r="J57" s="11">
        <v>370</v>
      </c>
      <c r="K57" s="11">
        <v>370</v>
      </c>
      <c r="O57">
        <v>600</v>
      </c>
      <c r="P57">
        <v>200</v>
      </c>
      <c r="Q57">
        <f t="shared" si="3"/>
        <v>360</v>
      </c>
      <c r="R57">
        <v>400</v>
      </c>
      <c r="T57">
        <v>65</v>
      </c>
      <c r="U57">
        <v>30</v>
      </c>
      <c r="W57">
        <v>360</v>
      </c>
      <c r="X57">
        <v>125</v>
      </c>
      <c r="Y57">
        <v>125</v>
      </c>
      <c r="AA57" t="s">
        <v>39</v>
      </c>
    </row>
    <row r="58" spans="1:27" x14ac:dyDescent="0.25">
      <c r="A58" t="s">
        <v>30</v>
      </c>
      <c r="B58" t="s">
        <v>31</v>
      </c>
      <c r="C58" s="1" t="s">
        <v>492</v>
      </c>
      <c r="D58" s="13">
        <v>70</v>
      </c>
      <c r="E58">
        <v>700</v>
      </c>
      <c r="F58" s="11">
        <v>510</v>
      </c>
      <c r="G58" s="11">
        <v>510</v>
      </c>
      <c r="J58" s="11">
        <v>370</v>
      </c>
      <c r="K58" s="11">
        <v>370</v>
      </c>
      <c r="O58">
        <v>600</v>
      </c>
      <c r="P58">
        <v>200</v>
      </c>
      <c r="Q58">
        <f t="shared" si="3"/>
        <v>360</v>
      </c>
      <c r="R58">
        <v>400</v>
      </c>
      <c r="T58">
        <v>54</v>
      </c>
      <c r="U58">
        <v>25</v>
      </c>
      <c r="W58">
        <v>360</v>
      </c>
      <c r="X58">
        <v>125</v>
      </c>
      <c r="Y58">
        <v>125</v>
      </c>
      <c r="AA58" t="s">
        <v>39</v>
      </c>
    </row>
    <row r="59" spans="1:27" x14ac:dyDescent="0.25">
      <c r="A59" t="s">
        <v>30</v>
      </c>
      <c r="B59" t="s">
        <v>31</v>
      </c>
      <c r="C59" s="1" t="s">
        <v>493</v>
      </c>
      <c r="D59" s="13">
        <v>70</v>
      </c>
      <c r="E59">
        <v>700</v>
      </c>
      <c r="F59" s="11">
        <v>510</v>
      </c>
      <c r="G59" s="11">
        <v>510</v>
      </c>
      <c r="J59" s="11">
        <v>370</v>
      </c>
      <c r="K59" s="11">
        <v>370</v>
      </c>
      <c r="O59">
        <v>600</v>
      </c>
      <c r="P59">
        <v>200</v>
      </c>
      <c r="Q59">
        <f t="shared" si="3"/>
        <v>360</v>
      </c>
      <c r="R59">
        <v>400</v>
      </c>
      <c r="T59">
        <v>77</v>
      </c>
      <c r="U59">
        <v>30</v>
      </c>
      <c r="W59">
        <v>360</v>
      </c>
      <c r="X59">
        <v>125</v>
      </c>
      <c r="Y59">
        <v>125</v>
      </c>
      <c r="AA59" t="s">
        <v>39</v>
      </c>
    </row>
    <row r="60" spans="1:27" x14ac:dyDescent="0.25">
      <c r="A60" t="s">
        <v>30</v>
      </c>
      <c r="B60" t="s">
        <v>31</v>
      </c>
      <c r="C60" s="1" t="s">
        <v>494</v>
      </c>
      <c r="D60" s="13">
        <v>70</v>
      </c>
      <c r="E60">
        <v>700</v>
      </c>
      <c r="F60" s="11">
        <v>510</v>
      </c>
      <c r="G60" s="11">
        <v>510</v>
      </c>
      <c r="J60" s="11">
        <v>370</v>
      </c>
      <c r="K60" s="11">
        <v>370</v>
      </c>
      <c r="O60">
        <v>600</v>
      </c>
      <c r="P60">
        <v>200</v>
      </c>
      <c r="Q60">
        <f t="shared" si="3"/>
        <v>360</v>
      </c>
      <c r="R60">
        <v>400</v>
      </c>
      <c r="T60">
        <v>105</v>
      </c>
      <c r="U60">
        <v>35</v>
      </c>
      <c r="W60">
        <v>360</v>
      </c>
      <c r="X60">
        <v>125</v>
      </c>
      <c r="Y60">
        <v>125</v>
      </c>
      <c r="AA60" t="s">
        <v>39</v>
      </c>
    </row>
    <row r="61" spans="1:27" x14ac:dyDescent="0.25">
      <c r="A61" t="s">
        <v>30</v>
      </c>
      <c r="B61" t="s">
        <v>31</v>
      </c>
      <c r="C61" s="1" t="s">
        <v>495</v>
      </c>
      <c r="D61" s="13">
        <v>70</v>
      </c>
      <c r="E61">
        <v>700</v>
      </c>
      <c r="F61" s="11">
        <v>510</v>
      </c>
      <c r="G61" s="11">
        <v>510</v>
      </c>
      <c r="J61" s="11">
        <v>370</v>
      </c>
      <c r="K61" s="11">
        <v>370</v>
      </c>
      <c r="O61">
        <v>600</v>
      </c>
      <c r="P61">
        <v>200</v>
      </c>
      <c r="Q61">
        <f t="shared" si="3"/>
        <v>360</v>
      </c>
      <c r="R61">
        <v>400</v>
      </c>
      <c r="T61">
        <v>97</v>
      </c>
      <c r="U61">
        <v>30</v>
      </c>
      <c r="W61">
        <v>360</v>
      </c>
      <c r="X61">
        <v>125</v>
      </c>
      <c r="Y61">
        <v>125</v>
      </c>
      <c r="AA61" t="s">
        <v>39</v>
      </c>
    </row>
    <row r="62" spans="1:27" x14ac:dyDescent="0.25">
      <c r="A62" t="s">
        <v>30</v>
      </c>
      <c r="B62" t="s">
        <v>31</v>
      </c>
      <c r="C62" s="1" t="s">
        <v>496</v>
      </c>
      <c r="D62" s="13">
        <v>70</v>
      </c>
      <c r="E62">
        <v>700</v>
      </c>
      <c r="F62" s="11">
        <v>510</v>
      </c>
      <c r="G62" s="11">
        <v>510</v>
      </c>
      <c r="J62" s="11">
        <v>370</v>
      </c>
      <c r="K62" s="11">
        <v>370</v>
      </c>
      <c r="O62">
        <v>600</v>
      </c>
      <c r="P62">
        <v>200</v>
      </c>
      <c r="Q62">
        <f t="shared" si="3"/>
        <v>360</v>
      </c>
      <c r="R62">
        <v>400</v>
      </c>
      <c r="T62">
        <v>132</v>
      </c>
      <c r="U62">
        <v>35</v>
      </c>
      <c r="W62">
        <v>360</v>
      </c>
      <c r="X62">
        <v>125</v>
      </c>
      <c r="Y62">
        <v>125</v>
      </c>
      <c r="AA62" t="s">
        <v>39</v>
      </c>
    </row>
    <row r="63" spans="1:27" x14ac:dyDescent="0.25">
      <c r="A63" t="s">
        <v>30</v>
      </c>
      <c r="B63" t="s">
        <v>31</v>
      </c>
      <c r="C63" s="1" t="s">
        <v>497</v>
      </c>
      <c r="D63" s="13">
        <v>70</v>
      </c>
      <c r="E63">
        <v>700</v>
      </c>
      <c r="F63" s="11">
        <v>510</v>
      </c>
      <c r="G63" s="11">
        <v>510</v>
      </c>
      <c r="J63" s="11">
        <v>370</v>
      </c>
      <c r="K63" s="11">
        <v>370</v>
      </c>
      <c r="O63">
        <v>600</v>
      </c>
      <c r="P63">
        <v>200</v>
      </c>
      <c r="Q63">
        <f t="shared" si="3"/>
        <v>360</v>
      </c>
      <c r="R63">
        <v>400</v>
      </c>
      <c r="T63">
        <v>172</v>
      </c>
      <c r="U63">
        <v>40</v>
      </c>
      <c r="W63">
        <v>360</v>
      </c>
      <c r="X63">
        <v>125</v>
      </c>
      <c r="Y63">
        <v>125</v>
      </c>
      <c r="AA63" t="s">
        <v>39</v>
      </c>
    </row>
    <row r="64" spans="1:27" x14ac:dyDescent="0.25">
      <c r="A64" t="s">
        <v>30</v>
      </c>
      <c r="B64" t="s">
        <v>31</v>
      </c>
      <c r="C64" s="1" t="s">
        <v>499</v>
      </c>
      <c r="D64" s="14">
        <v>100</v>
      </c>
      <c r="E64">
        <v>1000</v>
      </c>
      <c r="F64" s="11">
        <v>650</v>
      </c>
      <c r="G64" s="11">
        <v>650</v>
      </c>
      <c r="J64" s="11">
        <v>420</v>
      </c>
      <c r="K64" s="11">
        <v>420</v>
      </c>
      <c r="O64">
        <v>800</v>
      </c>
      <c r="P64">
        <v>225</v>
      </c>
      <c r="Q64">
        <v>700</v>
      </c>
      <c r="R64">
        <v>575</v>
      </c>
      <c r="T64">
        <v>45</v>
      </c>
      <c r="U64">
        <v>25</v>
      </c>
      <c r="W64">
        <v>600</v>
      </c>
      <c r="X64">
        <v>175</v>
      </c>
      <c r="Y64">
        <v>125</v>
      </c>
      <c r="AA64" t="s">
        <v>40</v>
      </c>
    </row>
    <row r="65" spans="1:27" x14ac:dyDescent="0.25">
      <c r="A65" t="s">
        <v>30</v>
      </c>
      <c r="B65" t="s">
        <v>31</v>
      </c>
      <c r="C65" s="1" t="s">
        <v>498</v>
      </c>
      <c r="D65" s="14">
        <v>130</v>
      </c>
      <c r="E65">
        <v>1300</v>
      </c>
      <c r="F65" s="11">
        <v>650</v>
      </c>
      <c r="G65" s="11">
        <v>650</v>
      </c>
      <c r="J65" s="11">
        <v>420</v>
      </c>
      <c r="K65" s="11">
        <v>420</v>
      </c>
      <c r="O65">
        <v>850</v>
      </c>
      <c r="P65">
        <v>275</v>
      </c>
      <c r="Q65">
        <v>700</v>
      </c>
      <c r="R65">
        <v>575</v>
      </c>
      <c r="T65">
        <v>627</v>
      </c>
      <c r="U65">
        <v>60</v>
      </c>
      <c r="W65">
        <v>600</v>
      </c>
      <c r="X65">
        <v>175</v>
      </c>
      <c r="Y65">
        <v>125</v>
      </c>
      <c r="AA65" t="s">
        <v>40</v>
      </c>
    </row>
    <row r="66" spans="1:27" x14ac:dyDescent="0.25">
      <c r="A66" t="s">
        <v>30</v>
      </c>
      <c r="B66" t="s">
        <v>31</v>
      </c>
      <c r="C66" s="1" t="s">
        <v>500</v>
      </c>
      <c r="D66" s="13">
        <v>80</v>
      </c>
      <c r="E66">
        <v>800</v>
      </c>
      <c r="F66" s="11">
        <v>900</v>
      </c>
      <c r="G66" s="11">
        <v>900</v>
      </c>
      <c r="J66" s="11">
        <v>470</v>
      </c>
      <c r="K66" s="11">
        <v>470</v>
      </c>
      <c r="L66" s="20">
        <v>18.5</v>
      </c>
      <c r="M66" s="20">
        <v>18.5</v>
      </c>
      <c r="O66">
        <v>750</v>
      </c>
      <c r="P66">
        <v>250</v>
      </c>
      <c r="Q66">
        <v>600</v>
      </c>
      <c r="R66">
        <v>500</v>
      </c>
      <c r="T66">
        <v>54</v>
      </c>
      <c r="U66">
        <v>25</v>
      </c>
      <c r="W66">
        <v>760</v>
      </c>
      <c r="X66">
        <v>175</v>
      </c>
      <c r="Y66">
        <v>125</v>
      </c>
      <c r="AA66" t="s">
        <v>41</v>
      </c>
    </row>
    <row r="67" spans="1:27" x14ac:dyDescent="0.25">
      <c r="A67" t="s">
        <v>30</v>
      </c>
      <c r="B67" t="s">
        <v>31</v>
      </c>
      <c r="C67" s="1" t="s">
        <v>501</v>
      </c>
      <c r="D67" s="14">
        <v>110</v>
      </c>
      <c r="E67">
        <v>1100</v>
      </c>
      <c r="F67" s="11">
        <v>900</v>
      </c>
      <c r="G67" s="11">
        <v>900</v>
      </c>
      <c r="J67" s="11">
        <v>470</v>
      </c>
      <c r="K67" s="11">
        <v>470</v>
      </c>
      <c r="L67" s="20">
        <v>18.5</v>
      </c>
      <c r="M67" s="20">
        <v>18.5</v>
      </c>
      <c r="O67">
        <v>750</v>
      </c>
      <c r="P67">
        <v>250</v>
      </c>
      <c r="Q67">
        <v>600</v>
      </c>
      <c r="R67">
        <v>500</v>
      </c>
      <c r="T67">
        <v>232</v>
      </c>
      <c r="U67">
        <v>45</v>
      </c>
      <c r="W67">
        <v>760</v>
      </c>
      <c r="X67">
        <v>175</v>
      </c>
      <c r="Y67">
        <v>125</v>
      </c>
    </row>
    <row r="68" spans="1:27" x14ac:dyDescent="0.25">
      <c r="A68" t="s">
        <v>30</v>
      </c>
      <c r="B68" t="s">
        <v>31</v>
      </c>
      <c r="C68" s="1" t="s">
        <v>503</v>
      </c>
      <c r="D68" s="14">
        <v>130</v>
      </c>
      <c r="E68">
        <v>1300</v>
      </c>
      <c r="F68" s="11">
        <v>695</v>
      </c>
      <c r="G68" s="11">
        <v>695</v>
      </c>
      <c r="J68" s="11">
        <v>520</v>
      </c>
      <c r="K68" s="11">
        <v>520</v>
      </c>
      <c r="O68">
        <v>825</v>
      </c>
      <c r="P68">
        <v>250</v>
      </c>
      <c r="Q68">
        <f t="shared" ref="Q68:Q78" si="4">O68*0.6</f>
        <v>495</v>
      </c>
      <c r="R68">
        <v>575</v>
      </c>
      <c r="T68">
        <v>97</v>
      </c>
      <c r="U68">
        <v>30</v>
      </c>
      <c r="W68">
        <v>1050</v>
      </c>
      <c r="X68">
        <v>175</v>
      </c>
      <c r="Y68">
        <v>125</v>
      </c>
      <c r="AA68" t="s">
        <v>42</v>
      </c>
    </row>
    <row r="69" spans="1:27" x14ac:dyDescent="0.25">
      <c r="A69" t="s">
        <v>30</v>
      </c>
      <c r="B69" t="s">
        <v>31</v>
      </c>
      <c r="C69" s="1" t="s">
        <v>502</v>
      </c>
      <c r="D69" s="14">
        <v>160</v>
      </c>
      <c r="E69">
        <v>1600</v>
      </c>
      <c r="F69" s="11">
        <v>695</v>
      </c>
      <c r="G69" s="11">
        <v>695</v>
      </c>
      <c r="J69" s="11">
        <v>520</v>
      </c>
      <c r="K69" s="11">
        <v>520</v>
      </c>
      <c r="O69">
        <v>825</v>
      </c>
      <c r="P69">
        <v>250</v>
      </c>
      <c r="Q69">
        <f t="shared" si="4"/>
        <v>495</v>
      </c>
      <c r="R69">
        <v>576</v>
      </c>
      <c r="T69">
        <v>434</v>
      </c>
      <c r="U69">
        <v>55</v>
      </c>
      <c r="W69">
        <v>1050</v>
      </c>
      <c r="X69">
        <v>175</v>
      </c>
      <c r="Y69">
        <v>125</v>
      </c>
    </row>
    <row r="70" spans="1:27" x14ac:dyDescent="0.25">
      <c r="A70" t="s">
        <v>30</v>
      </c>
      <c r="B70" t="s">
        <v>31</v>
      </c>
      <c r="C70" s="1" t="s">
        <v>504</v>
      </c>
      <c r="D70" s="14">
        <v>160</v>
      </c>
      <c r="E70">
        <v>1600</v>
      </c>
      <c r="F70" s="11">
        <v>1100</v>
      </c>
      <c r="G70" s="11">
        <v>1100</v>
      </c>
      <c r="J70" s="11">
        <v>570</v>
      </c>
      <c r="K70" s="11">
        <v>570</v>
      </c>
      <c r="O70">
        <v>900</v>
      </c>
      <c r="P70">
        <v>250</v>
      </c>
      <c r="Q70">
        <f t="shared" si="4"/>
        <v>540</v>
      </c>
      <c r="R70">
        <v>650</v>
      </c>
      <c r="T70">
        <v>141</v>
      </c>
      <c r="U70">
        <v>35</v>
      </c>
      <c r="W70">
        <v>1400</v>
      </c>
      <c r="X70">
        <v>200</v>
      </c>
      <c r="Y70">
        <v>125</v>
      </c>
    </row>
    <row r="71" spans="1:27" x14ac:dyDescent="0.25">
      <c r="A71" t="s">
        <v>30</v>
      </c>
      <c r="B71" t="s">
        <v>31</v>
      </c>
      <c r="C71" s="1" t="s">
        <v>43</v>
      </c>
      <c r="D71" s="14">
        <v>200</v>
      </c>
      <c r="E71">
        <v>2000</v>
      </c>
      <c r="F71" s="11">
        <v>1100</v>
      </c>
      <c r="G71" s="11">
        <v>1100</v>
      </c>
      <c r="J71" s="11">
        <v>570</v>
      </c>
      <c r="K71" s="11">
        <v>570</v>
      </c>
      <c r="O71">
        <v>900</v>
      </c>
      <c r="P71">
        <v>250</v>
      </c>
      <c r="Q71">
        <f t="shared" si="4"/>
        <v>540</v>
      </c>
      <c r="R71">
        <v>650</v>
      </c>
      <c r="T71">
        <v>359</v>
      </c>
      <c r="U71">
        <v>50</v>
      </c>
      <c r="W71">
        <v>1400</v>
      </c>
      <c r="X71">
        <v>200</v>
      </c>
      <c r="Y71">
        <v>125</v>
      </c>
      <c r="AA71" t="s">
        <v>44</v>
      </c>
    </row>
    <row r="72" spans="1:27" x14ac:dyDescent="0.25">
      <c r="A72" t="s">
        <v>30</v>
      </c>
      <c r="B72" t="s">
        <v>31</v>
      </c>
      <c r="C72" s="1" t="s">
        <v>505</v>
      </c>
      <c r="D72" s="15">
        <v>220</v>
      </c>
      <c r="E72">
        <v>2200</v>
      </c>
      <c r="F72" s="11">
        <v>1100</v>
      </c>
      <c r="G72" s="11">
        <v>1100</v>
      </c>
      <c r="J72" s="11">
        <v>570</v>
      </c>
      <c r="K72" s="11">
        <v>570</v>
      </c>
      <c r="O72">
        <v>900</v>
      </c>
      <c r="P72">
        <v>250</v>
      </c>
      <c r="Q72">
        <f t="shared" si="4"/>
        <v>540</v>
      </c>
      <c r="R72">
        <v>650</v>
      </c>
      <c r="T72">
        <v>844</v>
      </c>
      <c r="U72">
        <v>70</v>
      </c>
      <c r="W72">
        <v>1400</v>
      </c>
      <c r="X72">
        <v>200</v>
      </c>
      <c r="Y72">
        <v>125</v>
      </c>
    </row>
    <row r="73" spans="1:27" x14ac:dyDescent="0.25">
      <c r="A73" t="s">
        <v>30</v>
      </c>
      <c r="B73" t="s">
        <v>31</v>
      </c>
      <c r="C73" s="1" t="s">
        <v>507</v>
      </c>
      <c r="D73" s="15">
        <v>250</v>
      </c>
      <c r="E73">
        <v>2500</v>
      </c>
      <c r="F73" s="11">
        <v>900</v>
      </c>
      <c r="G73" s="11">
        <v>900</v>
      </c>
      <c r="J73" s="11">
        <v>630</v>
      </c>
      <c r="K73" s="11">
        <v>630</v>
      </c>
      <c r="O73">
        <v>1300</v>
      </c>
      <c r="P73">
        <v>700</v>
      </c>
      <c r="Q73">
        <f t="shared" si="4"/>
        <v>780</v>
      </c>
      <c r="R73">
        <v>600</v>
      </c>
      <c r="T73">
        <v>291</v>
      </c>
      <c r="U73">
        <v>45</v>
      </c>
      <c r="W73">
        <v>2500</v>
      </c>
      <c r="X73">
        <v>225</v>
      </c>
      <c r="Y73">
        <v>160</v>
      </c>
    </row>
    <row r="74" spans="1:27" x14ac:dyDescent="0.25">
      <c r="A74" t="s">
        <v>30</v>
      </c>
      <c r="B74" t="s">
        <v>31</v>
      </c>
      <c r="C74" s="1" t="s">
        <v>45</v>
      </c>
      <c r="D74" s="15">
        <v>250</v>
      </c>
      <c r="E74">
        <v>2500</v>
      </c>
      <c r="F74" s="11">
        <v>900</v>
      </c>
      <c r="G74" s="11">
        <v>900</v>
      </c>
      <c r="J74" s="11">
        <v>630</v>
      </c>
      <c r="K74" s="11">
        <v>630</v>
      </c>
      <c r="O74">
        <v>1300</v>
      </c>
      <c r="P74">
        <v>700</v>
      </c>
      <c r="Q74">
        <f t="shared" si="4"/>
        <v>780</v>
      </c>
      <c r="R74">
        <v>600</v>
      </c>
      <c r="T74">
        <v>620</v>
      </c>
      <c r="U74">
        <v>60</v>
      </c>
      <c r="W74">
        <v>2500</v>
      </c>
      <c r="X74">
        <v>225</v>
      </c>
      <c r="Y74">
        <v>160</v>
      </c>
      <c r="AA74" t="s">
        <v>46</v>
      </c>
    </row>
    <row r="75" spans="1:27" x14ac:dyDescent="0.25">
      <c r="A75" t="s">
        <v>30</v>
      </c>
      <c r="B75" t="s">
        <v>31</v>
      </c>
      <c r="C75" s="1" t="s">
        <v>506</v>
      </c>
      <c r="D75" s="15">
        <v>250</v>
      </c>
      <c r="E75">
        <v>2500</v>
      </c>
      <c r="F75" s="11">
        <v>900</v>
      </c>
      <c r="G75" s="11">
        <v>900</v>
      </c>
      <c r="J75" s="11">
        <v>630</v>
      </c>
      <c r="K75" s="11">
        <v>630</v>
      </c>
      <c r="O75">
        <v>1300</v>
      </c>
      <c r="P75">
        <v>700</v>
      </c>
      <c r="Q75">
        <f t="shared" si="4"/>
        <v>780</v>
      </c>
      <c r="R75">
        <v>600</v>
      </c>
      <c r="T75">
        <v>1286</v>
      </c>
      <c r="U75">
        <v>80</v>
      </c>
      <c r="W75">
        <v>2500</v>
      </c>
      <c r="X75">
        <v>225</v>
      </c>
      <c r="Y75">
        <v>160</v>
      </c>
    </row>
    <row r="76" spans="1:27" x14ac:dyDescent="0.25">
      <c r="A76" t="s">
        <v>30</v>
      </c>
      <c r="B76" t="s">
        <v>31</v>
      </c>
      <c r="C76" s="1" t="s">
        <v>508</v>
      </c>
      <c r="D76" s="15">
        <v>320</v>
      </c>
      <c r="E76">
        <v>3200</v>
      </c>
      <c r="F76" s="11">
        <v>1040</v>
      </c>
      <c r="G76" s="11">
        <v>1040</v>
      </c>
      <c r="J76" s="11">
        <v>720</v>
      </c>
      <c r="K76" s="11">
        <v>720</v>
      </c>
      <c r="O76">
        <v>1400</v>
      </c>
      <c r="P76">
        <v>700</v>
      </c>
      <c r="Q76">
        <f t="shared" si="4"/>
        <v>840</v>
      </c>
      <c r="R76">
        <v>700</v>
      </c>
      <c r="T76">
        <v>521</v>
      </c>
      <c r="U76">
        <v>55</v>
      </c>
      <c r="W76">
        <v>3600</v>
      </c>
      <c r="X76">
        <v>250</v>
      </c>
      <c r="Y76">
        <v>160</v>
      </c>
      <c r="AA76" t="s">
        <v>48</v>
      </c>
    </row>
    <row r="77" spans="1:27" x14ac:dyDescent="0.25">
      <c r="A77" t="s">
        <v>30</v>
      </c>
      <c r="B77" t="s">
        <v>31</v>
      </c>
      <c r="C77" s="1" t="s">
        <v>47</v>
      </c>
      <c r="D77" s="15">
        <v>320</v>
      </c>
      <c r="E77">
        <v>3200</v>
      </c>
      <c r="F77" s="11">
        <v>1040</v>
      </c>
      <c r="G77" s="11">
        <v>1040</v>
      </c>
      <c r="J77" s="11">
        <v>720</v>
      </c>
      <c r="K77" s="11">
        <v>720</v>
      </c>
      <c r="O77">
        <v>1400</v>
      </c>
      <c r="P77">
        <v>700</v>
      </c>
      <c r="Q77">
        <f t="shared" si="4"/>
        <v>840</v>
      </c>
      <c r="R77">
        <v>700</v>
      </c>
      <c r="T77">
        <v>984</v>
      </c>
      <c r="U77">
        <v>70</v>
      </c>
      <c r="W77">
        <v>3600</v>
      </c>
      <c r="X77">
        <v>250</v>
      </c>
      <c r="Y77">
        <v>160</v>
      </c>
    </row>
    <row r="78" spans="1:27" x14ac:dyDescent="0.25">
      <c r="A78" t="s">
        <v>30</v>
      </c>
      <c r="B78" t="s">
        <v>31</v>
      </c>
      <c r="C78" s="1" t="s">
        <v>509</v>
      </c>
      <c r="D78" s="15">
        <v>320</v>
      </c>
      <c r="E78">
        <v>3200</v>
      </c>
      <c r="F78" s="11">
        <v>1040</v>
      </c>
      <c r="G78" s="11">
        <v>1040</v>
      </c>
      <c r="J78" s="11">
        <v>720</v>
      </c>
      <c r="K78" s="11">
        <v>720</v>
      </c>
      <c r="O78">
        <v>1400</v>
      </c>
      <c r="P78">
        <v>700</v>
      </c>
      <c r="Q78">
        <f t="shared" si="4"/>
        <v>840</v>
      </c>
      <c r="R78">
        <v>700</v>
      </c>
      <c r="T78">
        <v>1860</v>
      </c>
      <c r="U78">
        <v>90</v>
      </c>
      <c r="W78">
        <v>3600</v>
      </c>
      <c r="X78">
        <v>250</v>
      </c>
      <c r="Y78">
        <v>160</v>
      </c>
    </row>
    <row r="79" spans="1:27" x14ac:dyDescent="0.25">
      <c r="A79" t="s">
        <v>30</v>
      </c>
      <c r="B79" t="s">
        <v>439</v>
      </c>
      <c r="C79" s="1" t="s">
        <v>437</v>
      </c>
      <c r="D79">
        <v>110</v>
      </c>
      <c r="E79">
        <v>1000</v>
      </c>
      <c r="F79" s="11">
        <v>770</v>
      </c>
      <c r="G79" s="11">
        <v>770</v>
      </c>
      <c r="J79" s="11">
        <v>470</v>
      </c>
      <c r="K79" s="11">
        <v>470</v>
      </c>
      <c r="O79">
        <v>600</v>
      </c>
      <c r="P79">
        <v>200</v>
      </c>
      <c r="Q79">
        <v>550</v>
      </c>
      <c r="R79">
        <v>300</v>
      </c>
      <c r="T79">
        <v>54</v>
      </c>
      <c r="U79">
        <v>25</v>
      </c>
      <c r="W79">
        <v>758</v>
      </c>
      <c r="X79">
        <v>150</v>
      </c>
      <c r="Y79">
        <v>130</v>
      </c>
      <c r="AA79" t="s">
        <v>440</v>
      </c>
    </row>
    <row r="80" spans="1:27" x14ac:dyDescent="0.25">
      <c r="A80" t="s">
        <v>30</v>
      </c>
      <c r="B80" t="s">
        <v>439</v>
      </c>
      <c r="C80" s="1" t="s">
        <v>437</v>
      </c>
      <c r="D80">
        <v>110</v>
      </c>
      <c r="E80">
        <v>1000</v>
      </c>
      <c r="F80" s="11">
        <v>770</v>
      </c>
      <c r="G80" s="11">
        <v>770</v>
      </c>
      <c r="J80" s="11">
        <v>470</v>
      </c>
      <c r="K80" s="11">
        <v>470</v>
      </c>
      <c r="O80">
        <v>600</v>
      </c>
      <c r="P80">
        <v>200</v>
      </c>
      <c r="Q80">
        <v>550</v>
      </c>
      <c r="R80">
        <v>300</v>
      </c>
      <c r="T80">
        <v>76</v>
      </c>
      <c r="U80">
        <v>30</v>
      </c>
      <c r="W80">
        <v>758</v>
      </c>
      <c r="X80">
        <v>150</v>
      </c>
      <c r="Y80">
        <v>130</v>
      </c>
      <c r="AA80" t="s">
        <v>440</v>
      </c>
    </row>
    <row r="81" spans="1:27" x14ac:dyDescent="0.25">
      <c r="A81" t="s">
        <v>30</v>
      </c>
      <c r="B81" t="s">
        <v>439</v>
      </c>
      <c r="C81" s="1" t="s">
        <v>437</v>
      </c>
      <c r="D81">
        <v>110</v>
      </c>
      <c r="E81">
        <v>1000</v>
      </c>
      <c r="F81" s="11">
        <v>770</v>
      </c>
      <c r="G81" s="11">
        <v>770</v>
      </c>
      <c r="J81" s="11">
        <v>470</v>
      </c>
      <c r="K81" s="11">
        <v>470</v>
      </c>
      <c r="O81">
        <v>600</v>
      </c>
      <c r="P81">
        <v>200</v>
      </c>
      <c r="Q81">
        <v>550</v>
      </c>
      <c r="R81">
        <v>300</v>
      </c>
      <c r="T81">
        <v>105</v>
      </c>
      <c r="U81">
        <v>35</v>
      </c>
      <c r="W81">
        <v>758</v>
      </c>
      <c r="X81">
        <v>150</v>
      </c>
      <c r="Y81">
        <v>130</v>
      </c>
      <c r="AA81" t="s">
        <v>440</v>
      </c>
    </row>
    <row r="82" spans="1:27" x14ac:dyDescent="0.25">
      <c r="A82" t="s">
        <v>30</v>
      </c>
      <c r="B82" t="s">
        <v>439</v>
      </c>
      <c r="C82" s="1" t="s">
        <v>438</v>
      </c>
      <c r="D82">
        <v>110</v>
      </c>
      <c r="E82">
        <v>1000</v>
      </c>
      <c r="F82" s="11">
        <v>770</v>
      </c>
      <c r="G82" s="11">
        <v>770</v>
      </c>
      <c r="J82" s="11">
        <v>470</v>
      </c>
      <c r="K82" s="11">
        <v>470</v>
      </c>
      <c r="O82">
        <v>950</v>
      </c>
      <c r="P82">
        <v>200</v>
      </c>
      <c r="Q82">
        <v>550</v>
      </c>
      <c r="R82">
        <v>300</v>
      </c>
      <c r="T82">
        <v>96</v>
      </c>
      <c r="U82">
        <v>30</v>
      </c>
      <c r="W82">
        <v>758</v>
      </c>
      <c r="X82">
        <v>150</v>
      </c>
      <c r="Y82">
        <v>130</v>
      </c>
      <c r="AA82" t="s">
        <v>440</v>
      </c>
    </row>
    <row r="83" spans="1:27" x14ac:dyDescent="0.25">
      <c r="A83" t="s">
        <v>30</v>
      </c>
      <c r="B83" t="s">
        <v>439</v>
      </c>
      <c r="C83" s="1" t="s">
        <v>438</v>
      </c>
      <c r="D83">
        <v>110</v>
      </c>
      <c r="E83">
        <v>1000</v>
      </c>
      <c r="F83" s="11">
        <v>770</v>
      </c>
      <c r="G83" s="11">
        <v>770</v>
      </c>
      <c r="J83" s="11">
        <v>470</v>
      </c>
      <c r="K83" s="11">
        <v>470</v>
      </c>
      <c r="O83">
        <v>950</v>
      </c>
      <c r="P83">
        <v>200</v>
      </c>
      <c r="Q83">
        <v>550</v>
      </c>
      <c r="R83">
        <v>300</v>
      </c>
      <c r="T83">
        <v>133</v>
      </c>
      <c r="U83">
        <v>30</v>
      </c>
      <c r="W83">
        <v>758</v>
      </c>
      <c r="X83">
        <v>150</v>
      </c>
      <c r="Y83">
        <v>130</v>
      </c>
      <c r="AA83" t="s">
        <v>440</v>
      </c>
    </row>
    <row r="84" spans="1:27" x14ac:dyDescent="0.25">
      <c r="A84" t="s">
        <v>30</v>
      </c>
      <c r="B84" t="s">
        <v>439</v>
      </c>
      <c r="C84" s="1" t="s">
        <v>438</v>
      </c>
      <c r="D84">
        <v>110</v>
      </c>
      <c r="E84">
        <v>1000</v>
      </c>
      <c r="F84" s="11">
        <v>770</v>
      </c>
      <c r="G84" s="11">
        <v>770</v>
      </c>
      <c r="J84" s="11">
        <v>470</v>
      </c>
      <c r="K84" s="11">
        <v>470</v>
      </c>
      <c r="O84">
        <v>950</v>
      </c>
      <c r="P84">
        <v>200</v>
      </c>
      <c r="Q84">
        <v>550</v>
      </c>
      <c r="R84">
        <v>300</v>
      </c>
      <c r="T84">
        <v>173</v>
      </c>
      <c r="U84">
        <v>30</v>
      </c>
      <c r="W84">
        <v>758</v>
      </c>
      <c r="X84">
        <v>150</v>
      </c>
      <c r="Y84">
        <v>130</v>
      </c>
      <c r="AA84" t="s">
        <v>440</v>
      </c>
    </row>
    <row r="85" spans="1:27" x14ac:dyDescent="0.25">
      <c r="A85" t="s">
        <v>15</v>
      </c>
      <c r="B85" t="s">
        <v>512</v>
      </c>
      <c r="C85" s="1" t="s">
        <v>510</v>
      </c>
      <c r="D85">
        <v>300</v>
      </c>
      <c r="E85">
        <v>3000</v>
      </c>
      <c r="F85" s="11">
        <v>650</v>
      </c>
      <c r="G85" s="11">
        <v>650</v>
      </c>
      <c r="J85" s="11">
        <v>650</v>
      </c>
      <c r="K85" s="11">
        <v>650</v>
      </c>
      <c r="O85">
        <v>590</v>
      </c>
      <c r="P85">
        <v>40</v>
      </c>
      <c r="Q85">
        <f>O85*0.6</f>
        <v>354</v>
      </c>
      <c r="R85">
        <v>550</v>
      </c>
      <c r="T85">
        <v>119</v>
      </c>
      <c r="U85">
        <v>30</v>
      </c>
      <c r="AA85" t="s">
        <v>513</v>
      </c>
    </row>
    <row r="86" spans="1:27" x14ac:dyDescent="0.25">
      <c r="A86" t="s">
        <v>15</v>
      </c>
      <c r="B86" t="s">
        <v>512</v>
      </c>
      <c r="C86" s="1" t="s">
        <v>511</v>
      </c>
      <c r="D86">
        <v>300</v>
      </c>
      <c r="E86">
        <v>3000</v>
      </c>
      <c r="F86" s="11">
        <v>650</v>
      </c>
      <c r="G86" s="11">
        <v>650</v>
      </c>
      <c r="J86" s="11">
        <v>650</v>
      </c>
      <c r="K86" s="11">
        <v>650</v>
      </c>
      <c r="O86">
        <v>590</v>
      </c>
      <c r="P86">
        <v>40</v>
      </c>
      <c r="Q86">
        <f>O86*0.6</f>
        <v>354</v>
      </c>
      <c r="R86">
        <v>550</v>
      </c>
      <c r="T86">
        <v>536</v>
      </c>
      <c r="U86">
        <v>55</v>
      </c>
      <c r="AA86" t="s">
        <v>513</v>
      </c>
    </row>
    <row r="87" spans="1:27" x14ac:dyDescent="0.25">
      <c r="A87" t="s">
        <v>15</v>
      </c>
      <c r="B87" t="s">
        <v>460</v>
      </c>
      <c r="C87" s="1" t="s">
        <v>514</v>
      </c>
      <c r="D87">
        <v>35</v>
      </c>
      <c r="E87">
        <v>300</v>
      </c>
      <c r="F87" s="11">
        <v>500</v>
      </c>
      <c r="G87" s="11">
        <v>450</v>
      </c>
      <c r="J87" s="11">
        <v>500</v>
      </c>
      <c r="K87" s="11">
        <v>450</v>
      </c>
      <c r="O87">
        <v>550</v>
      </c>
      <c r="P87">
        <v>150</v>
      </c>
      <c r="R87">
        <v>400</v>
      </c>
      <c r="T87">
        <v>16.8</v>
      </c>
      <c r="U87">
        <v>15</v>
      </c>
      <c r="V87">
        <v>300</v>
      </c>
      <c r="X87">
        <v>100</v>
      </c>
    </row>
    <row r="88" spans="1:27" x14ac:dyDescent="0.25">
      <c r="A88" t="s">
        <v>15</v>
      </c>
      <c r="B88" t="s">
        <v>460</v>
      </c>
      <c r="C88" s="1" t="s">
        <v>515</v>
      </c>
      <c r="D88">
        <v>45</v>
      </c>
      <c r="E88">
        <v>400</v>
      </c>
      <c r="F88" s="11">
        <v>500</v>
      </c>
      <c r="G88" s="11">
        <v>450</v>
      </c>
      <c r="J88" s="11">
        <v>500</v>
      </c>
      <c r="K88" s="11">
        <v>450</v>
      </c>
      <c r="O88">
        <v>600</v>
      </c>
      <c r="P88">
        <v>200</v>
      </c>
      <c r="R88">
        <v>400</v>
      </c>
      <c r="T88">
        <v>29.4</v>
      </c>
      <c r="U88">
        <v>20</v>
      </c>
      <c r="V88">
        <v>600</v>
      </c>
      <c r="X88">
        <v>100</v>
      </c>
    </row>
    <row r="89" spans="1:27" x14ac:dyDescent="0.25">
      <c r="A89" t="s">
        <v>15</v>
      </c>
      <c r="B89" t="s">
        <v>460</v>
      </c>
      <c r="C89" s="1" t="s">
        <v>516</v>
      </c>
      <c r="D89">
        <v>55</v>
      </c>
      <c r="E89">
        <v>500</v>
      </c>
      <c r="F89" s="11">
        <v>500</v>
      </c>
      <c r="G89" s="11">
        <v>450</v>
      </c>
      <c r="J89" s="11">
        <v>500</v>
      </c>
      <c r="K89" s="11">
        <v>450</v>
      </c>
      <c r="O89">
        <v>600</v>
      </c>
      <c r="P89">
        <v>200</v>
      </c>
      <c r="R89">
        <v>400</v>
      </c>
      <c r="T89">
        <v>56.7</v>
      </c>
      <c r="U89">
        <v>25</v>
      </c>
      <c r="V89">
        <v>300</v>
      </c>
      <c r="X89">
        <v>100</v>
      </c>
    </row>
    <row r="90" spans="1:27" x14ac:dyDescent="0.25">
      <c r="A90" t="s">
        <v>15</v>
      </c>
      <c r="B90" t="s">
        <v>460</v>
      </c>
      <c r="C90" s="1" t="s">
        <v>547</v>
      </c>
      <c r="D90">
        <v>70</v>
      </c>
      <c r="E90">
        <v>600</v>
      </c>
      <c r="F90" s="11">
        <v>670</v>
      </c>
      <c r="G90" s="11">
        <v>600</v>
      </c>
      <c r="J90" s="11">
        <v>670</v>
      </c>
      <c r="K90" s="11">
        <v>600</v>
      </c>
      <c r="O90">
        <v>700</v>
      </c>
      <c r="P90">
        <v>250</v>
      </c>
      <c r="R90">
        <v>450</v>
      </c>
      <c r="T90">
        <v>82</v>
      </c>
      <c r="U90">
        <v>30</v>
      </c>
      <c r="V90">
        <v>900</v>
      </c>
      <c r="X90">
        <v>100</v>
      </c>
    </row>
    <row r="91" spans="1:27" x14ac:dyDescent="0.25">
      <c r="A91" t="s">
        <v>15</v>
      </c>
      <c r="B91" t="s">
        <v>460</v>
      </c>
      <c r="C91" s="1" t="s">
        <v>517</v>
      </c>
      <c r="D91">
        <v>90</v>
      </c>
      <c r="E91">
        <v>800</v>
      </c>
      <c r="F91" s="11">
        <v>670</v>
      </c>
      <c r="G91" s="11">
        <v>600</v>
      </c>
      <c r="J91" s="11">
        <v>670</v>
      </c>
      <c r="K91" s="11">
        <v>600</v>
      </c>
      <c r="O91">
        <v>700</v>
      </c>
      <c r="P91">
        <v>250</v>
      </c>
      <c r="R91">
        <v>450</v>
      </c>
      <c r="T91">
        <v>151</v>
      </c>
      <c r="U91">
        <v>35</v>
      </c>
      <c r="V91">
        <v>800</v>
      </c>
      <c r="X91">
        <v>100</v>
      </c>
    </row>
    <row r="92" spans="1:27" x14ac:dyDescent="0.25">
      <c r="A92" t="s">
        <v>15</v>
      </c>
      <c r="B92" t="s">
        <v>460</v>
      </c>
      <c r="C92" s="1" t="s">
        <v>548</v>
      </c>
      <c r="D92">
        <v>110</v>
      </c>
      <c r="E92">
        <v>1000</v>
      </c>
      <c r="F92" s="11">
        <v>740</v>
      </c>
      <c r="G92" s="11">
        <v>680</v>
      </c>
      <c r="J92" s="11">
        <v>740</v>
      </c>
      <c r="K92" s="11">
        <v>680</v>
      </c>
      <c r="O92">
        <v>800</v>
      </c>
      <c r="P92">
        <v>300</v>
      </c>
      <c r="R92">
        <v>500</v>
      </c>
      <c r="T92">
        <v>197</v>
      </c>
      <c r="U92">
        <v>40</v>
      </c>
      <c r="V92">
        <v>1600</v>
      </c>
      <c r="X92">
        <v>130</v>
      </c>
    </row>
    <row r="93" spans="1:27" x14ac:dyDescent="0.25">
      <c r="A93" t="s">
        <v>15</v>
      </c>
      <c r="B93" t="s">
        <v>460</v>
      </c>
      <c r="C93" s="1" t="s">
        <v>518</v>
      </c>
      <c r="D93">
        <v>130</v>
      </c>
      <c r="E93">
        <v>1200</v>
      </c>
      <c r="F93" s="11">
        <v>740</v>
      </c>
      <c r="G93" s="11">
        <v>680</v>
      </c>
      <c r="J93" s="11">
        <v>740</v>
      </c>
      <c r="K93" s="11">
        <v>680</v>
      </c>
      <c r="O93">
        <v>800</v>
      </c>
      <c r="P93">
        <v>300</v>
      </c>
      <c r="R93">
        <v>500</v>
      </c>
      <c r="T93">
        <v>292</v>
      </c>
      <c r="U93">
        <v>45</v>
      </c>
      <c r="V93">
        <v>1600</v>
      </c>
      <c r="X93">
        <v>130</v>
      </c>
    </row>
    <row r="94" spans="1:27" x14ac:dyDescent="0.25">
      <c r="A94" t="s">
        <v>15</v>
      </c>
      <c r="B94" t="s">
        <v>460</v>
      </c>
      <c r="C94" s="1" t="s">
        <v>519</v>
      </c>
      <c r="D94">
        <v>160</v>
      </c>
      <c r="E94">
        <v>1400</v>
      </c>
      <c r="F94" s="11">
        <v>750</v>
      </c>
      <c r="G94" s="11">
        <v>750</v>
      </c>
      <c r="J94" s="11">
        <v>750</v>
      </c>
      <c r="K94" s="11">
        <v>750</v>
      </c>
      <c r="O94">
        <v>900</v>
      </c>
      <c r="P94">
        <v>300</v>
      </c>
      <c r="R94">
        <v>600</v>
      </c>
      <c r="T94">
        <v>413</v>
      </c>
      <c r="U94">
        <v>50</v>
      </c>
      <c r="V94">
        <v>2400</v>
      </c>
      <c r="X94">
        <v>150</v>
      </c>
    </row>
    <row r="95" spans="1:27" x14ac:dyDescent="0.25">
      <c r="A95" t="s">
        <v>15</v>
      </c>
      <c r="B95" t="s">
        <v>460</v>
      </c>
      <c r="C95" s="1" t="s">
        <v>520</v>
      </c>
      <c r="D95">
        <v>180</v>
      </c>
      <c r="E95">
        <v>1600</v>
      </c>
      <c r="F95" s="11">
        <v>750</v>
      </c>
      <c r="G95" s="11">
        <v>750</v>
      </c>
      <c r="J95" s="11">
        <v>750</v>
      </c>
      <c r="K95" s="11">
        <v>750</v>
      </c>
      <c r="O95">
        <v>900</v>
      </c>
      <c r="P95">
        <v>300</v>
      </c>
      <c r="R95">
        <v>600</v>
      </c>
      <c r="T95">
        <v>549</v>
      </c>
      <c r="U95">
        <v>55</v>
      </c>
      <c r="V95">
        <v>2400</v>
      </c>
      <c r="X95">
        <v>150</v>
      </c>
    </row>
    <row r="96" spans="1:27" x14ac:dyDescent="0.25">
      <c r="A96" t="s">
        <v>15</v>
      </c>
      <c r="B96" t="s">
        <v>460</v>
      </c>
      <c r="C96" s="1" t="s">
        <v>521</v>
      </c>
      <c r="D96">
        <v>200</v>
      </c>
      <c r="E96">
        <v>1800</v>
      </c>
      <c r="F96" s="11">
        <v>880</v>
      </c>
      <c r="G96" s="11">
        <v>830</v>
      </c>
      <c r="J96" s="11">
        <v>880</v>
      </c>
      <c r="K96" s="11">
        <v>830</v>
      </c>
      <c r="O96">
        <v>1050</v>
      </c>
      <c r="P96">
        <v>300</v>
      </c>
      <c r="R96">
        <v>750</v>
      </c>
      <c r="T96">
        <v>653</v>
      </c>
      <c r="U96">
        <v>60</v>
      </c>
      <c r="V96">
        <v>3000</v>
      </c>
      <c r="X96">
        <v>180</v>
      </c>
    </row>
    <row r="97" spans="1:27" x14ac:dyDescent="0.25">
      <c r="A97" t="s">
        <v>15</v>
      </c>
      <c r="B97" t="s">
        <v>460</v>
      </c>
      <c r="C97" s="1" t="s">
        <v>522</v>
      </c>
      <c r="D97">
        <v>220</v>
      </c>
      <c r="E97">
        <v>2000</v>
      </c>
      <c r="F97" s="11">
        <v>880</v>
      </c>
      <c r="G97" s="11">
        <v>830</v>
      </c>
      <c r="J97" s="11">
        <v>880</v>
      </c>
      <c r="K97" s="11">
        <v>830</v>
      </c>
      <c r="O97">
        <v>1050</v>
      </c>
      <c r="P97">
        <v>300</v>
      </c>
      <c r="R97">
        <v>750</v>
      </c>
      <c r="T97">
        <v>1090</v>
      </c>
      <c r="U97">
        <v>70</v>
      </c>
      <c r="V97">
        <v>3000</v>
      </c>
      <c r="X97">
        <v>180</v>
      </c>
    </row>
    <row r="98" spans="1:27" x14ac:dyDescent="0.25">
      <c r="A98" t="s">
        <v>15</v>
      </c>
      <c r="B98" t="s">
        <v>460</v>
      </c>
      <c r="C98" s="1" t="s">
        <v>523</v>
      </c>
      <c r="D98">
        <v>240</v>
      </c>
      <c r="E98">
        <v>2200</v>
      </c>
      <c r="F98" s="11">
        <v>880</v>
      </c>
      <c r="G98" s="11">
        <v>830</v>
      </c>
      <c r="J98" s="11">
        <v>880</v>
      </c>
      <c r="K98" s="11">
        <v>830</v>
      </c>
      <c r="O98">
        <v>1050</v>
      </c>
      <c r="P98">
        <v>300</v>
      </c>
      <c r="R98">
        <v>750</v>
      </c>
      <c r="T98">
        <v>1090</v>
      </c>
      <c r="U98">
        <v>70</v>
      </c>
      <c r="V98">
        <v>3000</v>
      </c>
      <c r="X98">
        <v>180</v>
      </c>
    </row>
    <row r="99" spans="1:27" x14ac:dyDescent="0.25">
      <c r="A99" t="s">
        <v>15</v>
      </c>
      <c r="B99" t="s">
        <v>460</v>
      </c>
      <c r="C99" s="1" t="s">
        <v>524</v>
      </c>
      <c r="D99">
        <v>290</v>
      </c>
      <c r="E99">
        <v>2600</v>
      </c>
      <c r="F99" s="11">
        <v>1100</v>
      </c>
      <c r="G99" s="11">
        <v>1000</v>
      </c>
      <c r="J99" s="11">
        <v>1100</v>
      </c>
      <c r="K99" s="11">
        <v>1000</v>
      </c>
      <c r="O99">
        <v>1300</v>
      </c>
      <c r="P99">
        <v>400</v>
      </c>
      <c r="R99">
        <v>900</v>
      </c>
      <c r="T99">
        <v>1660</v>
      </c>
      <c r="U99">
        <v>80</v>
      </c>
      <c r="V99">
        <v>4400</v>
      </c>
      <c r="X99">
        <v>200</v>
      </c>
    </row>
    <row r="100" spans="1:27" x14ac:dyDescent="0.25">
      <c r="A100" t="s">
        <v>15</v>
      </c>
      <c r="B100" t="s">
        <v>460</v>
      </c>
      <c r="C100" s="1" t="s">
        <v>525</v>
      </c>
      <c r="D100">
        <v>340</v>
      </c>
      <c r="E100">
        <v>3000</v>
      </c>
      <c r="F100" s="11">
        <v>1100</v>
      </c>
      <c r="G100" s="11">
        <v>1000</v>
      </c>
      <c r="J100" s="11">
        <v>1100</v>
      </c>
      <c r="K100" s="11">
        <v>1000</v>
      </c>
      <c r="O100">
        <v>1300</v>
      </c>
      <c r="P100">
        <v>400</v>
      </c>
      <c r="R100">
        <v>900</v>
      </c>
      <c r="T100">
        <v>1660</v>
      </c>
      <c r="U100">
        <v>80</v>
      </c>
      <c r="V100">
        <v>4400</v>
      </c>
      <c r="X100">
        <v>200</v>
      </c>
    </row>
    <row r="101" spans="1:27" x14ac:dyDescent="0.25">
      <c r="A101" t="s">
        <v>15</v>
      </c>
      <c r="B101" t="s">
        <v>460</v>
      </c>
      <c r="C101" s="1" t="s">
        <v>526</v>
      </c>
      <c r="D101">
        <v>400</v>
      </c>
      <c r="E101">
        <v>3500</v>
      </c>
      <c r="F101" s="11">
        <v>1220</v>
      </c>
      <c r="G101" s="11">
        <v>1100</v>
      </c>
      <c r="J101" s="11">
        <v>1220</v>
      </c>
      <c r="K101" s="11">
        <v>1100</v>
      </c>
      <c r="O101">
        <v>1450</v>
      </c>
      <c r="P101">
        <v>450</v>
      </c>
      <c r="R101">
        <v>1000</v>
      </c>
      <c r="T101">
        <v>2400</v>
      </c>
      <c r="U101">
        <v>90</v>
      </c>
      <c r="V101">
        <v>6400</v>
      </c>
      <c r="X101">
        <v>250</v>
      </c>
    </row>
    <row r="102" spans="1:27" x14ac:dyDescent="0.25">
      <c r="A102" t="s">
        <v>15</v>
      </c>
      <c r="B102" t="s">
        <v>460</v>
      </c>
      <c r="C102" s="1" t="s">
        <v>527</v>
      </c>
      <c r="D102">
        <v>450</v>
      </c>
      <c r="E102">
        <v>4000</v>
      </c>
      <c r="F102" s="11">
        <v>1220</v>
      </c>
      <c r="G102" s="11">
        <v>1100</v>
      </c>
      <c r="J102" s="11">
        <v>1220</v>
      </c>
      <c r="K102" s="11">
        <v>1100</v>
      </c>
      <c r="O102">
        <v>1450</v>
      </c>
      <c r="P102">
        <v>450</v>
      </c>
      <c r="R102">
        <v>1000</v>
      </c>
      <c r="T102">
        <v>2400</v>
      </c>
      <c r="U102">
        <v>90</v>
      </c>
      <c r="V102">
        <v>6400</v>
      </c>
      <c r="X102">
        <v>250</v>
      </c>
    </row>
    <row r="103" spans="1:27" x14ac:dyDescent="0.25">
      <c r="A103" t="s">
        <v>15</v>
      </c>
      <c r="B103" t="s">
        <v>460</v>
      </c>
      <c r="C103" s="1" t="s">
        <v>528</v>
      </c>
      <c r="D103">
        <v>500</v>
      </c>
      <c r="E103">
        <v>4500</v>
      </c>
      <c r="F103" s="11">
        <v>1350</v>
      </c>
      <c r="G103" s="11">
        <v>1285</v>
      </c>
      <c r="J103" s="11">
        <v>1350</v>
      </c>
      <c r="K103" s="11">
        <v>1285</v>
      </c>
      <c r="O103">
        <v>1600</v>
      </c>
      <c r="P103">
        <v>500</v>
      </c>
      <c r="R103">
        <v>1100</v>
      </c>
      <c r="T103">
        <v>2740</v>
      </c>
      <c r="U103">
        <v>90</v>
      </c>
      <c r="V103">
        <v>10600</v>
      </c>
      <c r="X103">
        <v>250</v>
      </c>
    </row>
    <row r="104" spans="1:27" x14ac:dyDescent="0.25">
      <c r="A104" t="s">
        <v>15</v>
      </c>
      <c r="B104" t="s">
        <v>460</v>
      </c>
      <c r="C104" s="1" t="s">
        <v>549</v>
      </c>
      <c r="D104">
        <v>560</v>
      </c>
      <c r="E104">
        <v>5000</v>
      </c>
      <c r="F104" s="11">
        <v>1350</v>
      </c>
      <c r="G104" s="11">
        <v>1285</v>
      </c>
      <c r="J104" s="11">
        <v>1350</v>
      </c>
      <c r="K104" s="11">
        <v>1285</v>
      </c>
      <c r="O104">
        <v>1600</v>
      </c>
      <c r="P104">
        <v>500</v>
      </c>
      <c r="R104">
        <v>1100</v>
      </c>
      <c r="T104">
        <v>5580</v>
      </c>
      <c r="U104">
        <v>120</v>
      </c>
      <c r="V104">
        <v>10600</v>
      </c>
      <c r="X104">
        <v>250</v>
      </c>
    </row>
    <row r="105" spans="1:27" x14ac:dyDescent="0.25">
      <c r="A105" t="s">
        <v>15</v>
      </c>
      <c r="B105" t="s">
        <v>16</v>
      </c>
      <c r="C105" s="1" t="s">
        <v>17</v>
      </c>
      <c r="D105">
        <v>1100</v>
      </c>
      <c r="E105">
        <f>D105*10</f>
        <v>11000</v>
      </c>
      <c r="F105" s="11">
        <v>2000</v>
      </c>
      <c r="G105" s="11">
        <v>1830</v>
      </c>
      <c r="H105">
        <v>78.7</v>
      </c>
      <c r="I105">
        <v>72</v>
      </c>
      <c r="J105" s="11">
        <v>1400</v>
      </c>
      <c r="K105" s="11">
        <v>1150</v>
      </c>
      <c r="L105" s="20">
        <v>55.1</v>
      </c>
      <c r="M105" s="20">
        <v>45.3</v>
      </c>
      <c r="N105">
        <v>230</v>
      </c>
      <c r="O105">
        <v>2400</v>
      </c>
      <c r="P105">
        <v>600</v>
      </c>
      <c r="Q105">
        <v>1200</v>
      </c>
      <c r="R105">
        <v>1800</v>
      </c>
      <c r="T105">
        <v>5700</v>
      </c>
      <c r="U105">
        <v>120</v>
      </c>
      <c r="AA105" t="s">
        <v>18</v>
      </c>
    </row>
    <row r="106" spans="1:27" x14ac:dyDescent="0.25">
      <c r="A106" t="s">
        <v>15</v>
      </c>
      <c r="B106" t="s">
        <v>16</v>
      </c>
      <c r="C106" s="1" t="s">
        <v>456</v>
      </c>
      <c r="D106">
        <v>1000</v>
      </c>
      <c r="E106">
        <v>9000</v>
      </c>
      <c r="F106" s="11">
        <v>2000</v>
      </c>
      <c r="G106" s="11">
        <v>1830</v>
      </c>
      <c r="H106">
        <v>78.7</v>
      </c>
      <c r="I106">
        <v>72</v>
      </c>
      <c r="J106" s="11">
        <v>1400</v>
      </c>
      <c r="K106" s="11">
        <v>1150</v>
      </c>
      <c r="L106" s="20">
        <v>55.1</v>
      </c>
      <c r="M106" s="20">
        <v>45.3</v>
      </c>
      <c r="N106">
        <v>230</v>
      </c>
      <c r="O106">
        <v>2400</v>
      </c>
      <c r="P106">
        <v>600</v>
      </c>
      <c r="Q106">
        <v>1200</v>
      </c>
      <c r="R106">
        <v>1800</v>
      </c>
      <c r="T106">
        <v>10150</v>
      </c>
      <c r="U106">
        <v>150</v>
      </c>
      <c r="V106">
        <v>21000</v>
      </c>
      <c r="W106">
        <f>V106*2/3</f>
        <v>14000</v>
      </c>
      <c r="X106">
        <v>300</v>
      </c>
      <c r="Y106">
        <v>250</v>
      </c>
      <c r="Z106">
        <v>35</v>
      </c>
      <c r="AA106" t="s">
        <v>457</v>
      </c>
    </row>
    <row r="107" spans="1:27" x14ac:dyDescent="0.25">
      <c r="A107" t="s">
        <v>190</v>
      </c>
      <c r="B107" t="s">
        <v>191</v>
      </c>
      <c r="C107" s="1" t="s">
        <v>586</v>
      </c>
      <c r="D107">
        <v>85</v>
      </c>
      <c r="E107">
        <v>800</v>
      </c>
      <c r="F107" s="11">
        <v>650</v>
      </c>
      <c r="G107" s="11">
        <v>621</v>
      </c>
      <c r="J107" s="11">
        <v>410</v>
      </c>
      <c r="K107" s="11">
        <v>410</v>
      </c>
      <c r="O107">
        <v>650</v>
      </c>
      <c r="P107">
        <v>200</v>
      </c>
      <c r="Q107">
        <v>500</v>
      </c>
      <c r="R107">
        <v>350</v>
      </c>
      <c r="S107">
        <v>200</v>
      </c>
      <c r="T107">
        <v>19</v>
      </c>
      <c r="U107">
        <v>16</v>
      </c>
      <c r="V107">
        <v>1174</v>
      </c>
      <c r="W107">
        <v>704</v>
      </c>
      <c r="AA107" t="s">
        <v>193</v>
      </c>
    </row>
    <row r="108" spans="1:27" x14ac:dyDescent="0.25">
      <c r="A108" t="s">
        <v>190</v>
      </c>
      <c r="B108" t="s">
        <v>191</v>
      </c>
      <c r="C108" s="1" t="s">
        <v>587</v>
      </c>
      <c r="D108">
        <v>85</v>
      </c>
      <c r="E108">
        <v>800</v>
      </c>
      <c r="F108" s="11">
        <v>650</v>
      </c>
      <c r="G108" s="11">
        <v>621</v>
      </c>
      <c r="J108" s="11">
        <v>410</v>
      </c>
      <c r="K108" s="11">
        <v>410</v>
      </c>
      <c r="O108">
        <v>650</v>
      </c>
      <c r="P108">
        <v>200</v>
      </c>
      <c r="Q108">
        <v>500</v>
      </c>
      <c r="R108">
        <v>350</v>
      </c>
      <c r="S108">
        <v>200</v>
      </c>
      <c r="T108">
        <v>24</v>
      </c>
      <c r="U108">
        <v>18</v>
      </c>
      <c r="V108">
        <v>1174</v>
      </c>
      <c r="W108">
        <v>704</v>
      </c>
      <c r="AA108" t="s">
        <v>193</v>
      </c>
    </row>
    <row r="109" spans="1:27" x14ac:dyDescent="0.25">
      <c r="A109" t="s">
        <v>190</v>
      </c>
      <c r="B109" t="s">
        <v>191</v>
      </c>
      <c r="C109" s="1" t="s">
        <v>588</v>
      </c>
      <c r="D109">
        <v>85</v>
      </c>
      <c r="E109">
        <v>800</v>
      </c>
      <c r="F109" s="11">
        <v>650</v>
      </c>
      <c r="G109" s="11">
        <v>621</v>
      </c>
      <c r="J109" s="11">
        <v>410</v>
      </c>
      <c r="K109" s="11">
        <v>410</v>
      </c>
      <c r="O109">
        <v>650</v>
      </c>
      <c r="P109">
        <v>200</v>
      </c>
      <c r="Q109">
        <v>500</v>
      </c>
      <c r="R109">
        <v>350</v>
      </c>
      <c r="S109">
        <v>200</v>
      </c>
      <c r="T109">
        <v>30</v>
      </c>
      <c r="U109">
        <v>20</v>
      </c>
      <c r="V109">
        <v>1174</v>
      </c>
      <c r="W109">
        <v>704</v>
      </c>
      <c r="AA109" t="s">
        <v>193</v>
      </c>
    </row>
    <row r="110" spans="1:27" x14ac:dyDescent="0.25">
      <c r="A110" t="s">
        <v>190</v>
      </c>
      <c r="B110" t="s">
        <v>191</v>
      </c>
      <c r="C110" s="1" t="s">
        <v>589</v>
      </c>
      <c r="D110">
        <v>85</v>
      </c>
      <c r="E110">
        <v>800</v>
      </c>
      <c r="F110" s="11">
        <v>650</v>
      </c>
      <c r="G110" s="11">
        <v>621</v>
      </c>
      <c r="J110" s="11">
        <v>410</v>
      </c>
      <c r="K110" s="11">
        <v>410</v>
      </c>
      <c r="O110">
        <v>650</v>
      </c>
      <c r="P110">
        <v>200</v>
      </c>
      <c r="Q110">
        <v>500</v>
      </c>
      <c r="R110">
        <v>350</v>
      </c>
      <c r="S110">
        <v>200</v>
      </c>
      <c r="T110">
        <v>47</v>
      </c>
      <c r="U110">
        <v>25</v>
      </c>
      <c r="V110">
        <v>1174</v>
      </c>
      <c r="W110">
        <v>704</v>
      </c>
      <c r="AA110" t="s">
        <v>193</v>
      </c>
    </row>
    <row r="111" spans="1:27" x14ac:dyDescent="0.25">
      <c r="A111" t="s">
        <v>190</v>
      </c>
      <c r="B111" t="s">
        <v>191</v>
      </c>
      <c r="C111" s="1" t="s">
        <v>590</v>
      </c>
      <c r="D111">
        <v>85</v>
      </c>
      <c r="E111">
        <v>800</v>
      </c>
      <c r="F111" s="11">
        <v>650</v>
      </c>
      <c r="G111" s="11">
        <v>621</v>
      </c>
      <c r="J111" s="11">
        <v>410</v>
      </c>
      <c r="K111" s="11">
        <v>410</v>
      </c>
      <c r="O111">
        <v>650</v>
      </c>
      <c r="P111">
        <v>400</v>
      </c>
      <c r="Q111">
        <v>700</v>
      </c>
      <c r="R111">
        <v>350</v>
      </c>
      <c r="S111">
        <v>200</v>
      </c>
      <c r="T111">
        <v>85</v>
      </c>
      <c r="U111">
        <v>33</v>
      </c>
      <c r="V111">
        <v>1174</v>
      </c>
      <c r="W111">
        <v>704</v>
      </c>
      <c r="AA111" t="s">
        <v>193</v>
      </c>
    </row>
    <row r="112" spans="1:27" x14ac:dyDescent="0.25">
      <c r="A112" t="s">
        <v>190</v>
      </c>
      <c r="B112" t="s">
        <v>191</v>
      </c>
      <c r="C112" s="1" t="s">
        <v>591</v>
      </c>
      <c r="D112">
        <v>85</v>
      </c>
      <c r="E112">
        <v>800</v>
      </c>
      <c r="F112" s="11">
        <v>650</v>
      </c>
      <c r="G112" s="11">
        <v>621</v>
      </c>
      <c r="J112" s="11">
        <v>410</v>
      </c>
      <c r="K112" s="11">
        <v>410</v>
      </c>
      <c r="O112">
        <v>650</v>
      </c>
      <c r="P112">
        <v>400</v>
      </c>
      <c r="Q112">
        <v>700</v>
      </c>
      <c r="R112">
        <v>350</v>
      </c>
      <c r="S112">
        <v>200</v>
      </c>
      <c r="T112">
        <v>113</v>
      </c>
      <c r="U112">
        <v>36</v>
      </c>
      <c r="V112">
        <v>1174</v>
      </c>
      <c r="W112">
        <v>704</v>
      </c>
      <c r="AA112" t="s">
        <v>193</v>
      </c>
    </row>
    <row r="113" spans="1:27" x14ac:dyDescent="0.25">
      <c r="A113" t="s">
        <v>190</v>
      </c>
      <c r="B113" t="s">
        <v>191</v>
      </c>
      <c r="C113" s="1" t="s">
        <v>592</v>
      </c>
      <c r="D113">
        <v>85</v>
      </c>
      <c r="E113">
        <v>800</v>
      </c>
      <c r="F113" s="11">
        <v>650</v>
      </c>
      <c r="G113" s="11">
        <v>621</v>
      </c>
      <c r="J113" s="11">
        <v>410</v>
      </c>
      <c r="K113" s="11">
        <v>410</v>
      </c>
      <c r="O113">
        <v>650</v>
      </c>
      <c r="P113">
        <v>400</v>
      </c>
      <c r="Q113">
        <v>700</v>
      </c>
      <c r="R113">
        <v>350</v>
      </c>
      <c r="S113">
        <v>200</v>
      </c>
      <c r="T113">
        <v>154</v>
      </c>
      <c r="U113">
        <v>40</v>
      </c>
      <c r="V113">
        <v>1174</v>
      </c>
      <c r="W113">
        <v>704</v>
      </c>
      <c r="AA113" t="s">
        <v>193</v>
      </c>
    </row>
    <row r="114" spans="1:27" x14ac:dyDescent="0.25">
      <c r="A114" t="s">
        <v>190</v>
      </c>
      <c r="B114" t="s">
        <v>191</v>
      </c>
      <c r="C114" s="1" t="s">
        <v>264</v>
      </c>
      <c r="D114">
        <v>135</v>
      </c>
      <c r="E114">
        <v>1200</v>
      </c>
      <c r="F114" s="11">
        <v>750</v>
      </c>
      <c r="G114" s="11">
        <v>700</v>
      </c>
      <c r="J114" s="11">
        <v>510</v>
      </c>
      <c r="K114" s="11">
        <v>510</v>
      </c>
      <c r="L114" s="20">
        <v>20.8</v>
      </c>
      <c r="M114" s="20">
        <v>20.8</v>
      </c>
      <c r="N114">
        <v>70</v>
      </c>
      <c r="O114">
        <v>800</v>
      </c>
      <c r="P114">
        <v>250</v>
      </c>
      <c r="Q114">
        <v>550</v>
      </c>
      <c r="R114">
        <v>500</v>
      </c>
      <c r="T114">
        <v>28</v>
      </c>
      <c r="U114">
        <v>18</v>
      </c>
      <c r="V114">
        <v>1920</v>
      </c>
      <c r="W114">
        <v>1152</v>
      </c>
      <c r="X114">
        <v>150</v>
      </c>
      <c r="AA114" t="s">
        <v>165</v>
      </c>
    </row>
    <row r="115" spans="1:27" x14ac:dyDescent="0.25">
      <c r="A115" t="s">
        <v>190</v>
      </c>
      <c r="B115" t="s">
        <v>191</v>
      </c>
      <c r="C115" s="1" t="s">
        <v>264</v>
      </c>
      <c r="D115">
        <v>135</v>
      </c>
      <c r="E115">
        <v>1200</v>
      </c>
      <c r="F115" s="11">
        <v>750</v>
      </c>
      <c r="G115" s="11">
        <v>700</v>
      </c>
      <c r="J115" s="11">
        <v>510</v>
      </c>
      <c r="K115" s="11">
        <v>510</v>
      </c>
      <c r="L115" s="20">
        <v>20.8</v>
      </c>
      <c r="M115" s="20">
        <v>20.8</v>
      </c>
      <c r="N115">
        <v>70</v>
      </c>
      <c r="O115">
        <v>800</v>
      </c>
      <c r="P115">
        <v>250</v>
      </c>
      <c r="Q115">
        <v>550</v>
      </c>
      <c r="R115">
        <v>500</v>
      </c>
      <c r="T115">
        <v>154</v>
      </c>
      <c r="U115">
        <v>40</v>
      </c>
      <c r="V115">
        <v>1920</v>
      </c>
      <c r="W115">
        <v>1152</v>
      </c>
      <c r="X115">
        <v>150</v>
      </c>
      <c r="AA115" t="s">
        <v>165</v>
      </c>
    </row>
    <row r="116" spans="1:27" x14ac:dyDescent="0.25">
      <c r="A116" t="s">
        <v>190</v>
      </c>
      <c r="B116" t="s">
        <v>191</v>
      </c>
      <c r="C116" s="1" t="s">
        <v>593</v>
      </c>
      <c r="D116">
        <v>135</v>
      </c>
      <c r="E116">
        <v>1200</v>
      </c>
      <c r="F116" s="11">
        <v>750</v>
      </c>
      <c r="G116" s="11">
        <v>700</v>
      </c>
      <c r="J116" s="11">
        <v>510</v>
      </c>
      <c r="K116" s="11">
        <v>510</v>
      </c>
      <c r="L116" s="20">
        <v>20.8</v>
      </c>
      <c r="M116" s="20">
        <v>20.8</v>
      </c>
      <c r="N116">
        <v>70</v>
      </c>
      <c r="O116">
        <v>800</v>
      </c>
      <c r="P116">
        <v>250</v>
      </c>
      <c r="Q116">
        <v>550</v>
      </c>
      <c r="R116">
        <v>500</v>
      </c>
      <c r="T116">
        <v>142</v>
      </c>
      <c r="U116">
        <v>35</v>
      </c>
      <c r="V116">
        <v>1920</v>
      </c>
      <c r="W116">
        <v>1152</v>
      </c>
      <c r="X116">
        <v>150</v>
      </c>
      <c r="AA116" t="s">
        <v>165</v>
      </c>
    </row>
    <row r="117" spans="1:27" x14ac:dyDescent="0.25">
      <c r="A117" t="s">
        <v>190</v>
      </c>
      <c r="B117" t="s">
        <v>191</v>
      </c>
      <c r="C117" s="1" t="s">
        <v>594</v>
      </c>
      <c r="D117">
        <v>135</v>
      </c>
      <c r="E117">
        <v>1200</v>
      </c>
      <c r="F117" s="11">
        <v>750</v>
      </c>
      <c r="G117" s="11">
        <v>700</v>
      </c>
      <c r="J117" s="11">
        <v>510</v>
      </c>
      <c r="K117" s="11">
        <v>510</v>
      </c>
      <c r="L117" s="20">
        <v>20.8</v>
      </c>
      <c r="M117" s="20">
        <v>20.8</v>
      </c>
      <c r="N117">
        <v>70</v>
      </c>
      <c r="O117">
        <v>800</v>
      </c>
      <c r="P117">
        <v>250</v>
      </c>
      <c r="Q117">
        <v>550</v>
      </c>
      <c r="R117">
        <v>500</v>
      </c>
      <c r="T117">
        <v>301</v>
      </c>
      <c r="U117">
        <v>50</v>
      </c>
      <c r="V117">
        <v>1920</v>
      </c>
      <c r="W117">
        <v>1152</v>
      </c>
      <c r="X117">
        <v>150</v>
      </c>
      <c r="AA117" t="s">
        <v>165</v>
      </c>
    </row>
    <row r="118" spans="1:27" x14ac:dyDescent="0.25">
      <c r="A118" t="s">
        <v>190</v>
      </c>
      <c r="B118" t="s">
        <v>191</v>
      </c>
      <c r="C118" s="1" t="s">
        <v>596</v>
      </c>
      <c r="D118">
        <v>197</v>
      </c>
      <c r="E118">
        <v>1750</v>
      </c>
      <c r="F118" s="11">
        <v>820</v>
      </c>
      <c r="G118" s="11">
        <v>760</v>
      </c>
      <c r="J118" s="11">
        <v>560</v>
      </c>
      <c r="K118" s="11">
        <v>560</v>
      </c>
      <c r="L118" s="20">
        <v>22.05</v>
      </c>
      <c r="M118" s="20">
        <v>22.05</v>
      </c>
      <c r="N118">
        <v>85</v>
      </c>
      <c r="O118">
        <v>900</v>
      </c>
      <c r="P118">
        <v>300</v>
      </c>
      <c r="Q118">
        <v>600</v>
      </c>
      <c r="R118">
        <v>560</v>
      </c>
      <c r="T118">
        <v>28</v>
      </c>
      <c r="U118">
        <v>18</v>
      </c>
      <c r="V118">
        <v>2550</v>
      </c>
      <c r="W118">
        <v>1530</v>
      </c>
      <c r="X118">
        <v>170</v>
      </c>
      <c r="AA118" t="s">
        <v>167</v>
      </c>
    </row>
    <row r="119" spans="1:27" x14ac:dyDescent="0.25">
      <c r="A119" t="s">
        <v>190</v>
      </c>
      <c r="B119" t="s">
        <v>191</v>
      </c>
      <c r="C119" s="1" t="s">
        <v>595</v>
      </c>
      <c r="D119">
        <v>197</v>
      </c>
      <c r="E119">
        <v>1750</v>
      </c>
      <c r="F119" s="11">
        <v>820</v>
      </c>
      <c r="G119" s="11">
        <v>760</v>
      </c>
      <c r="J119" s="11">
        <v>560</v>
      </c>
      <c r="K119" s="11">
        <v>560</v>
      </c>
      <c r="L119" s="20">
        <v>22.05</v>
      </c>
      <c r="M119" s="20">
        <v>22.05</v>
      </c>
      <c r="N119">
        <v>85</v>
      </c>
      <c r="O119">
        <v>900</v>
      </c>
      <c r="P119">
        <v>300</v>
      </c>
      <c r="Q119">
        <v>600</v>
      </c>
      <c r="R119">
        <v>560</v>
      </c>
      <c r="T119">
        <v>154</v>
      </c>
      <c r="U119">
        <v>40</v>
      </c>
      <c r="V119">
        <v>2550</v>
      </c>
      <c r="W119">
        <v>1530</v>
      </c>
      <c r="X119">
        <v>170</v>
      </c>
      <c r="AA119" t="s">
        <v>167</v>
      </c>
    </row>
    <row r="120" spans="1:27" x14ac:dyDescent="0.25">
      <c r="A120" t="s">
        <v>190</v>
      </c>
      <c r="B120" t="s">
        <v>191</v>
      </c>
      <c r="C120" s="1" t="s">
        <v>597</v>
      </c>
      <c r="D120">
        <v>197</v>
      </c>
      <c r="E120">
        <v>1750</v>
      </c>
      <c r="F120" s="11">
        <v>820</v>
      </c>
      <c r="G120" s="11">
        <v>760</v>
      </c>
      <c r="J120" s="11">
        <v>560</v>
      </c>
      <c r="K120" s="11">
        <v>560</v>
      </c>
      <c r="L120" s="20">
        <v>22.05</v>
      </c>
      <c r="M120" s="20">
        <v>22.05</v>
      </c>
      <c r="N120">
        <v>85</v>
      </c>
      <c r="O120">
        <v>900</v>
      </c>
      <c r="P120">
        <v>300</v>
      </c>
      <c r="Q120">
        <v>600</v>
      </c>
      <c r="R120">
        <v>560</v>
      </c>
      <c r="T120">
        <v>142</v>
      </c>
      <c r="U120">
        <v>36</v>
      </c>
      <c r="V120">
        <v>2550</v>
      </c>
      <c r="W120">
        <v>1530</v>
      </c>
      <c r="X120">
        <v>170</v>
      </c>
      <c r="AA120" t="s">
        <v>167</v>
      </c>
    </row>
    <row r="121" spans="1:27" x14ac:dyDescent="0.25">
      <c r="A121" t="s">
        <v>190</v>
      </c>
      <c r="B121" t="s">
        <v>191</v>
      </c>
      <c r="C121" s="1" t="s">
        <v>598</v>
      </c>
      <c r="D121">
        <v>197</v>
      </c>
      <c r="E121">
        <v>1750</v>
      </c>
      <c r="F121" s="11">
        <v>820</v>
      </c>
      <c r="G121" s="11">
        <v>760</v>
      </c>
      <c r="J121" s="11">
        <v>560</v>
      </c>
      <c r="K121" s="11">
        <v>560</v>
      </c>
      <c r="L121" s="20">
        <v>22.05</v>
      </c>
      <c r="M121" s="20">
        <v>22.05</v>
      </c>
      <c r="N121">
        <v>85</v>
      </c>
      <c r="O121">
        <v>900</v>
      </c>
      <c r="P121">
        <v>300</v>
      </c>
      <c r="Q121">
        <v>600</v>
      </c>
      <c r="R121">
        <v>560</v>
      </c>
      <c r="T121">
        <v>301</v>
      </c>
      <c r="U121">
        <v>50</v>
      </c>
      <c r="V121">
        <v>2550</v>
      </c>
      <c r="W121">
        <v>1530</v>
      </c>
      <c r="X121">
        <v>170</v>
      </c>
      <c r="AA121" t="s">
        <v>167</v>
      </c>
    </row>
    <row r="122" spans="1:27" x14ac:dyDescent="0.25">
      <c r="A122" t="s">
        <v>190</v>
      </c>
      <c r="B122" t="s">
        <v>191</v>
      </c>
      <c r="C122" s="1" t="s">
        <v>599</v>
      </c>
      <c r="D122">
        <v>197</v>
      </c>
      <c r="E122">
        <v>1750</v>
      </c>
      <c r="F122" s="11">
        <v>820</v>
      </c>
      <c r="G122" s="11">
        <v>760</v>
      </c>
      <c r="J122" s="11">
        <v>560</v>
      </c>
      <c r="K122" s="11">
        <v>560</v>
      </c>
      <c r="L122" s="20">
        <v>22.05</v>
      </c>
      <c r="M122" s="20">
        <v>22.05</v>
      </c>
      <c r="N122">
        <v>85</v>
      </c>
      <c r="O122">
        <v>900</v>
      </c>
      <c r="P122">
        <v>300</v>
      </c>
      <c r="Q122">
        <v>600</v>
      </c>
      <c r="R122">
        <v>560</v>
      </c>
      <c r="T122">
        <v>283</v>
      </c>
      <c r="U122">
        <v>46</v>
      </c>
      <c r="V122">
        <v>2550</v>
      </c>
      <c r="W122">
        <v>1530</v>
      </c>
      <c r="X122">
        <v>170</v>
      </c>
      <c r="AA122" t="s">
        <v>167</v>
      </c>
    </row>
    <row r="123" spans="1:27" x14ac:dyDescent="0.25">
      <c r="A123" t="s">
        <v>190</v>
      </c>
      <c r="B123" t="s">
        <v>191</v>
      </c>
      <c r="C123" s="1" t="s">
        <v>600</v>
      </c>
      <c r="D123">
        <v>197</v>
      </c>
      <c r="E123">
        <v>1750</v>
      </c>
      <c r="F123" s="11">
        <v>820</v>
      </c>
      <c r="G123" s="11">
        <v>760</v>
      </c>
      <c r="J123" s="11">
        <v>560</v>
      </c>
      <c r="K123" s="11">
        <v>560</v>
      </c>
      <c r="L123" s="20">
        <v>22.05</v>
      </c>
      <c r="M123" s="20">
        <v>22.05</v>
      </c>
      <c r="N123">
        <v>85</v>
      </c>
      <c r="O123">
        <v>900</v>
      </c>
      <c r="P123">
        <v>300</v>
      </c>
      <c r="Q123">
        <v>600</v>
      </c>
      <c r="R123">
        <v>560</v>
      </c>
      <c r="T123">
        <v>580</v>
      </c>
      <c r="U123">
        <v>60</v>
      </c>
      <c r="V123">
        <v>2550</v>
      </c>
      <c r="W123">
        <v>1530</v>
      </c>
      <c r="X123">
        <v>170</v>
      </c>
      <c r="AA123" t="s">
        <v>167</v>
      </c>
    </row>
    <row r="124" spans="1:27" x14ac:dyDescent="0.25">
      <c r="A124" t="s">
        <v>190</v>
      </c>
      <c r="B124" t="s">
        <v>191</v>
      </c>
      <c r="C124" s="1" t="s">
        <v>584</v>
      </c>
      <c r="D124">
        <v>247</v>
      </c>
      <c r="E124">
        <v>2200</v>
      </c>
      <c r="F124" s="11">
        <v>900</v>
      </c>
      <c r="G124" s="11">
        <v>830</v>
      </c>
      <c r="J124" s="11">
        <v>670</v>
      </c>
      <c r="K124" s="11">
        <v>620</v>
      </c>
      <c r="L124" s="20">
        <v>26.38</v>
      </c>
      <c r="M124" s="20">
        <v>24.41</v>
      </c>
      <c r="N124">
        <v>100</v>
      </c>
      <c r="O124">
        <v>1000</v>
      </c>
      <c r="P124">
        <v>350</v>
      </c>
      <c r="Q124">
        <v>650</v>
      </c>
      <c r="R124">
        <v>610</v>
      </c>
      <c r="T124">
        <v>28</v>
      </c>
      <c r="U124">
        <v>18</v>
      </c>
      <c r="V124">
        <v>3660</v>
      </c>
      <c r="W124">
        <v>2196</v>
      </c>
      <c r="X124">
        <v>185</v>
      </c>
      <c r="AA124" t="s">
        <v>169</v>
      </c>
    </row>
    <row r="125" spans="1:27" x14ac:dyDescent="0.25">
      <c r="A125" t="s">
        <v>190</v>
      </c>
      <c r="B125" t="s">
        <v>191</v>
      </c>
      <c r="C125" s="1" t="s">
        <v>585</v>
      </c>
      <c r="D125">
        <v>247</v>
      </c>
      <c r="E125">
        <v>2200</v>
      </c>
      <c r="F125" s="11">
        <v>900</v>
      </c>
      <c r="G125" s="11">
        <v>830</v>
      </c>
      <c r="J125" s="11">
        <v>670</v>
      </c>
      <c r="K125" s="11">
        <v>620</v>
      </c>
      <c r="L125" s="20">
        <v>26.38</v>
      </c>
      <c r="M125" s="20">
        <v>24.41</v>
      </c>
      <c r="N125">
        <v>100</v>
      </c>
      <c r="O125">
        <v>1000</v>
      </c>
      <c r="P125">
        <v>350</v>
      </c>
      <c r="Q125">
        <v>650</v>
      </c>
      <c r="R125">
        <v>610</v>
      </c>
      <c r="T125">
        <v>154</v>
      </c>
      <c r="U125">
        <v>40</v>
      </c>
      <c r="V125">
        <v>3660</v>
      </c>
      <c r="W125">
        <v>2196</v>
      </c>
      <c r="X125">
        <v>185</v>
      </c>
      <c r="AA125" t="s">
        <v>169</v>
      </c>
    </row>
    <row r="126" spans="1:27" x14ac:dyDescent="0.25">
      <c r="A126" t="s">
        <v>190</v>
      </c>
      <c r="B126" t="s">
        <v>191</v>
      </c>
      <c r="C126" s="1" t="s">
        <v>605</v>
      </c>
      <c r="D126">
        <v>247</v>
      </c>
      <c r="E126">
        <v>2200</v>
      </c>
      <c r="F126" s="11">
        <v>900</v>
      </c>
      <c r="G126" s="11">
        <v>830</v>
      </c>
      <c r="J126" s="11">
        <v>670</v>
      </c>
      <c r="K126" s="11">
        <v>620</v>
      </c>
      <c r="L126" s="20">
        <v>26.38</v>
      </c>
      <c r="M126" s="20">
        <v>24.41</v>
      </c>
      <c r="N126">
        <v>100</v>
      </c>
      <c r="O126">
        <v>1000</v>
      </c>
      <c r="P126">
        <v>350</v>
      </c>
      <c r="Q126">
        <v>650</v>
      </c>
      <c r="R126">
        <v>610</v>
      </c>
      <c r="T126">
        <v>301</v>
      </c>
      <c r="U126">
        <v>50</v>
      </c>
      <c r="V126">
        <v>3660</v>
      </c>
      <c r="W126">
        <v>2196</v>
      </c>
      <c r="X126">
        <v>185</v>
      </c>
      <c r="AA126" t="s">
        <v>169</v>
      </c>
    </row>
    <row r="127" spans="1:27" x14ac:dyDescent="0.25">
      <c r="A127" t="s">
        <v>190</v>
      </c>
      <c r="B127" t="s">
        <v>191</v>
      </c>
      <c r="C127" s="1" t="s">
        <v>606</v>
      </c>
      <c r="D127">
        <v>247</v>
      </c>
      <c r="E127">
        <v>2200</v>
      </c>
      <c r="F127" s="11">
        <v>900</v>
      </c>
      <c r="G127" s="11">
        <v>830</v>
      </c>
      <c r="J127" s="11">
        <v>670</v>
      </c>
      <c r="K127" s="11">
        <v>620</v>
      </c>
      <c r="L127" s="20">
        <v>26.38</v>
      </c>
      <c r="M127" s="20">
        <v>24.41</v>
      </c>
      <c r="N127">
        <v>100</v>
      </c>
      <c r="O127">
        <v>1000</v>
      </c>
      <c r="P127">
        <v>350</v>
      </c>
      <c r="Q127">
        <v>650</v>
      </c>
      <c r="R127">
        <v>610</v>
      </c>
      <c r="T127">
        <v>580</v>
      </c>
      <c r="U127">
        <v>60</v>
      </c>
      <c r="V127">
        <v>3660</v>
      </c>
      <c r="W127">
        <v>2196</v>
      </c>
      <c r="X127">
        <v>185</v>
      </c>
      <c r="AA127" t="s">
        <v>169</v>
      </c>
    </row>
    <row r="128" spans="1:27" x14ac:dyDescent="0.25">
      <c r="A128" t="s">
        <v>190</v>
      </c>
      <c r="B128" t="s">
        <v>191</v>
      </c>
      <c r="C128" s="1" t="s">
        <v>601</v>
      </c>
      <c r="D128">
        <v>315</v>
      </c>
      <c r="E128">
        <v>2800</v>
      </c>
      <c r="F128" s="11">
        <v>950</v>
      </c>
      <c r="G128" s="11">
        <v>880</v>
      </c>
      <c r="J128" s="11">
        <v>720</v>
      </c>
      <c r="K128" s="11">
        <v>670</v>
      </c>
      <c r="L128" s="20">
        <v>28.35</v>
      </c>
      <c r="M128" s="20">
        <v>26.38</v>
      </c>
      <c r="N128">
        <v>115</v>
      </c>
      <c r="O128">
        <v>1100</v>
      </c>
      <c r="P128">
        <v>400</v>
      </c>
      <c r="Q128">
        <v>700</v>
      </c>
      <c r="R128">
        <v>660</v>
      </c>
      <c r="T128">
        <v>142</v>
      </c>
      <c r="U128">
        <v>36</v>
      </c>
      <c r="V128">
        <v>4600</v>
      </c>
      <c r="W128">
        <v>2760</v>
      </c>
      <c r="X128">
        <v>200</v>
      </c>
      <c r="AA128" t="s">
        <v>173</v>
      </c>
    </row>
    <row r="129" spans="1:27" x14ac:dyDescent="0.25">
      <c r="A129" t="s">
        <v>190</v>
      </c>
      <c r="B129" t="s">
        <v>191</v>
      </c>
      <c r="C129" s="1" t="s">
        <v>602</v>
      </c>
      <c r="D129">
        <v>315</v>
      </c>
      <c r="E129">
        <v>2800</v>
      </c>
      <c r="F129" s="11">
        <v>950</v>
      </c>
      <c r="G129" s="11">
        <v>880</v>
      </c>
      <c r="J129" s="11">
        <v>720</v>
      </c>
      <c r="K129" s="11">
        <v>670</v>
      </c>
      <c r="L129" s="20">
        <v>28.35</v>
      </c>
      <c r="M129" s="20">
        <v>26.38</v>
      </c>
      <c r="N129">
        <v>115</v>
      </c>
      <c r="O129">
        <v>1100</v>
      </c>
      <c r="P129">
        <v>400</v>
      </c>
      <c r="Q129">
        <v>700</v>
      </c>
      <c r="R129">
        <v>660</v>
      </c>
      <c r="T129">
        <v>301</v>
      </c>
      <c r="U129">
        <v>50</v>
      </c>
      <c r="V129">
        <v>4600</v>
      </c>
      <c r="W129">
        <v>2760</v>
      </c>
      <c r="X129">
        <v>200</v>
      </c>
      <c r="AA129" t="s">
        <v>173</v>
      </c>
    </row>
    <row r="130" spans="1:27" x14ac:dyDescent="0.25">
      <c r="A130" t="s">
        <v>190</v>
      </c>
      <c r="B130" t="s">
        <v>191</v>
      </c>
      <c r="C130" s="1" t="s">
        <v>603</v>
      </c>
      <c r="D130">
        <v>315</v>
      </c>
      <c r="E130">
        <v>2800</v>
      </c>
      <c r="F130" s="11">
        <v>950</v>
      </c>
      <c r="G130" s="11">
        <v>880</v>
      </c>
      <c r="J130" s="11">
        <v>720</v>
      </c>
      <c r="K130" s="11">
        <v>670</v>
      </c>
      <c r="L130" s="20">
        <v>28.35</v>
      </c>
      <c r="M130" s="20">
        <v>26.38</v>
      </c>
      <c r="N130">
        <v>115</v>
      </c>
      <c r="O130">
        <v>1100</v>
      </c>
      <c r="P130">
        <v>400</v>
      </c>
      <c r="Q130">
        <v>700</v>
      </c>
      <c r="R130">
        <v>660</v>
      </c>
      <c r="T130">
        <v>283</v>
      </c>
      <c r="U130">
        <v>46</v>
      </c>
      <c r="V130">
        <v>4600</v>
      </c>
      <c r="W130">
        <v>2760</v>
      </c>
      <c r="X130">
        <v>200</v>
      </c>
      <c r="AA130" t="s">
        <v>173</v>
      </c>
    </row>
    <row r="131" spans="1:27" x14ac:dyDescent="0.25">
      <c r="A131" t="s">
        <v>190</v>
      </c>
      <c r="B131" t="s">
        <v>191</v>
      </c>
      <c r="C131" s="1" t="s">
        <v>604</v>
      </c>
      <c r="D131">
        <v>315</v>
      </c>
      <c r="E131">
        <v>2800</v>
      </c>
      <c r="F131" s="11">
        <v>950</v>
      </c>
      <c r="G131" s="11">
        <v>880</v>
      </c>
      <c r="J131" s="11">
        <v>720</v>
      </c>
      <c r="K131" s="11">
        <v>670</v>
      </c>
      <c r="L131" s="20">
        <v>28.35</v>
      </c>
      <c r="M131" s="20">
        <v>26.38</v>
      </c>
      <c r="N131">
        <v>115</v>
      </c>
      <c r="O131">
        <v>1100</v>
      </c>
      <c r="P131">
        <v>400</v>
      </c>
      <c r="Q131">
        <v>700</v>
      </c>
      <c r="R131">
        <v>660</v>
      </c>
      <c r="T131">
        <v>580</v>
      </c>
      <c r="U131">
        <v>60</v>
      </c>
      <c r="V131">
        <v>4600</v>
      </c>
      <c r="W131">
        <v>2760</v>
      </c>
      <c r="X131">
        <v>200</v>
      </c>
      <c r="AA131" t="s">
        <v>173</v>
      </c>
    </row>
    <row r="132" spans="1:27" x14ac:dyDescent="0.25">
      <c r="A132" t="s">
        <v>90</v>
      </c>
      <c r="B132" t="s">
        <v>91</v>
      </c>
      <c r="C132" s="1" t="s">
        <v>550</v>
      </c>
      <c r="D132">
        <v>34</v>
      </c>
      <c r="E132">
        <v>300</v>
      </c>
      <c r="F132" s="11">
        <v>440</v>
      </c>
      <c r="G132" s="11">
        <v>420</v>
      </c>
      <c r="J132" s="11">
        <v>310</v>
      </c>
      <c r="K132" s="11">
        <v>290</v>
      </c>
      <c r="O132">
        <v>530</v>
      </c>
      <c r="P132">
        <v>130</v>
      </c>
      <c r="Q132">
        <v>300</v>
      </c>
      <c r="R132">
        <v>230</v>
      </c>
      <c r="T132">
        <v>13</v>
      </c>
      <c r="U132">
        <v>18</v>
      </c>
      <c r="X132">
        <v>50</v>
      </c>
      <c r="Y132">
        <v>60</v>
      </c>
      <c r="AA132" t="s">
        <v>552</v>
      </c>
    </row>
    <row r="133" spans="1:27" x14ac:dyDescent="0.25">
      <c r="A133" t="s">
        <v>90</v>
      </c>
      <c r="B133" t="s">
        <v>91</v>
      </c>
      <c r="C133" s="1" t="s">
        <v>551</v>
      </c>
      <c r="D133">
        <v>34</v>
      </c>
      <c r="E133">
        <v>300</v>
      </c>
      <c r="F133" s="11">
        <v>440</v>
      </c>
      <c r="G133" s="11">
        <v>420</v>
      </c>
      <c r="J133" s="11">
        <v>310</v>
      </c>
      <c r="K133" s="11">
        <v>290</v>
      </c>
      <c r="O133">
        <v>530</v>
      </c>
      <c r="P133">
        <v>130</v>
      </c>
      <c r="Q133">
        <v>300</v>
      </c>
      <c r="R133">
        <v>230</v>
      </c>
      <c r="T133">
        <v>36</v>
      </c>
      <c r="U133">
        <v>25</v>
      </c>
      <c r="X133">
        <v>50</v>
      </c>
      <c r="Y133">
        <v>60</v>
      </c>
      <c r="AA133" t="s">
        <v>552</v>
      </c>
    </row>
    <row r="134" spans="1:27" x14ac:dyDescent="0.25">
      <c r="A134" t="s">
        <v>90</v>
      </c>
      <c r="B134" t="s">
        <v>91</v>
      </c>
      <c r="C134" s="1" t="s">
        <v>553</v>
      </c>
      <c r="D134">
        <v>56</v>
      </c>
      <c r="E134">
        <v>500</v>
      </c>
      <c r="F134" s="11">
        <v>500</v>
      </c>
      <c r="G134" s="11">
        <v>500</v>
      </c>
      <c r="J134" s="11">
        <v>360</v>
      </c>
      <c r="K134" s="11">
        <v>360</v>
      </c>
      <c r="O134">
        <v>600</v>
      </c>
      <c r="P134">
        <v>160</v>
      </c>
      <c r="Q134">
        <v>350</v>
      </c>
      <c r="R134">
        <v>250</v>
      </c>
      <c r="T134">
        <v>19</v>
      </c>
      <c r="U134">
        <v>18</v>
      </c>
      <c r="X134">
        <v>70</v>
      </c>
      <c r="Y134">
        <v>101.6</v>
      </c>
      <c r="AA134" t="s">
        <v>552</v>
      </c>
    </row>
    <row r="135" spans="1:27" x14ac:dyDescent="0.25">
      <c r="A135" t="s">
        <v>90</v>
      </c>
      <c r="B135" t="s">
        <v>91</v>
      </c>
      <c r="C135" s="1" t="s">
        <v>554</v>
      </c>
      <c r="D135">
        <v>56</v>
      </c>
      <c r="E135">
        <v>500</v>
      </c>
      <c r="F135" s="11">
        <v>500</v>
      </c>
      <c r="G135" s="11">
        <v>500</v>
      </c>
      <c r="J135" s="11">
        <v>360</v>
      </c>
      <c r="K135" s="11">
        <v>360</v>
      </c>
      <c r="O135">
        <v>600</v>
      </c>
      <c r="P135">
        <v>160</v>
      </c>
      <c r="Q135">
        <v>350</v>
      </c>
      <c r="R135">
        <v>250</v>
      </c>
      <c r="T135">
        <v>80</v>
      </c>
      <c r="U135">
        <v>32</v>
      </c>
      <c r="X135">
        <v>70</v>
      </c>
      <c r="Y135">
        <v>101.6</v>
      </c>
      <c r="AA135" t="s">
        <v>552</v>
      </c>
    </row>
    <row r="136" spans="1:27" x14ac:dyDescent="0.25">
      <c r="A136" t="s">
        <v>90</v>
      </c>
      <c r="B136" t="s">
        <v>91</v>
      </c>
      <c r="C136" s="1" t="s">
        <v>555</v>
      </c>
      <c r="D136">
        <v>84</v>
      </c>
      <c r="E136">
        <v>750</v>
      </c>
      <c r="F136" s="11">
        <v>580</v>
      </c>
      <c r="G136" s="11">
        <v>580</v>
      </c>
      <c r="J136" s="11">
        <v>420</v>
      </c>
      <c r="K136" s="11">
        <v>420</v>
      </c>
      <c r="O136">
        <v>710</v>
      </c>
      <c r="P136">
        <v>160</v>
      </c>
      <c r="Q136">
        <v>410</v>
      </c>
      <c r="R136">
        <v>300</v>
      </c>
      <c r="T136">
        <v>38</v>
      </c>
      <c r="U136">
        <v>22</v>
      </c>
      <c r="X136">
        <v>80</v>
      </c>
      <c r="Y136">
        <v>101.6</v>
      </c>
      <c r="AA136" t="s">
        <v>552</v>
      </c>
    </row>
    <row r="137" spans="1:27" x14ac:dyDescent="0.25">
      <c r="A137" t="s">
        <v>90</v>
      </c>
      <c r="B137" t="s">
        <v>91</v>
      </c>
      <c r="C137" s="1" t="s">
        <v>556</v>
      </c>
      <c r="D137">
        <v>84</v>
      </c>
      <c r="E137">
        <v>750</v>
      </c>
      <c r="F137" s="11">
        <v>580</v>
      </c>
      <c r="G137" s="11">
        <v>580</v>
      </c>
      <c r="J137" s="11">
        <v>420</v>
      </c>
      <c r="K137" s="11">
        <v>420</v>
      </c>
      <c r="O137">
        <v>710</v>
      </c>
      <c r="P137">
        <v>160</v>
      </c>
      <c r="Q137">
        <v>410</v>
      </c>
      <c r="R137">
        <v>300</v>
      </c>
      <c r="T137">
        <v>137</v>
      </c>
      <c r="U137">
        <v>36</v>
      </c>
      <c r="X137">
        <v>80</v>
      </c>
      <c r="Y137">
        <v>101.6</v>
      </c>
      <c r="AA137" t="s">
        <v>552</v>
      </c>
    </row>
    <row r="138" spans="1:27" x14ac:dyDescent="0.25">
      <c r="A138" t="s">
        <v>90</v>
      </c>
      <c r="B138" t="s">
        <v>91</v>
      </c>
      <c r="C138" s="1" t="s">
        <v>557</v>
      </c>
      <c r="D138">
        <v>112</v>
      </c>
      <c r="E138">
        <v>1000</v>
      </c>
      <c r="F138" s="11">
        <v>650</v>
      </c>
      <c r="G138" s="11">
        <v>650</v>
      </c>
      <c r="J138">
        <v>460</v>
      </c>
      <c r="K138">
        <v>460</v>
      </c>
      <c r="O138">
        <v>800</v>
      </c>
      <c r="P138">
        <v>180</v>
      </c>
      <c r="Q138">
        <v>450</v>
      </c>
      <c r="R138">
        <v>350</v>
      </c>
      <c r="T138">
        <v>38</v>
      </c>
      <c r="U138">
        <v>22</v>
      </c>
      <c r="X138">
        <v>100</v>
      </c>
      <c r="Y138">
        <v>101.6</v>
      </c>
      <c r="AA138" t="s">
        <v>552</v>
      </c>
    </row>
    <row r="139" spans="1:27" x14ac:dyDescent="0.25">
      <c r="A139" t="s">
        <v>90</v>
      </c>
      <c r="B139" t="s">
        <v>91</v>
      </c>
      <c r="C139" s="1" t="s">
        <v>558</v>
      </c>
      <c r="D139">
        <v>112</v>
      </c>
      <c r="E139">
        <v>1000</v>
      </c>
      <c r="F139" s="11">
        <v>650</v>
      </c>
      <c r="G139" s="11">
        <v>650</v>
      </c>
      <c r="J139">
        <v>460</v>
      </c>
      <c r="K139">
        <v>460</v>
      </c>
      <c r="O139">
        <v>800</v>
      </c>
      <c r="P139">
        <v>180</v>
      </c>
      <c r="Q139">
        <v>450</v>
      </c>
      <c r="R139">
        <v>350</v>
      </c>
      <c r="T139">
        <v>193</v>
      </c>
      <c r="U139">
        <v>40</v>
      </c>
      <c r="X139">
        <v>100</v>
      </c>
      <c r="Y139">
        <v>101.6</v>
      </c>
      <c r="AA139" t="s">
        <v>552</v>
      </c>
    </row>
    <row r="140" spans="1:27" x14ac:dyDescent="0.25">
      <c r="A140" t="s">
        <v>90</v>
      </c>
      <c r="B140" t="s">
        <v>91</v>
      </c>
      <c r="C140" s="1" t="s">
        <v>559</v>
      </c>
      <c r="D140">
        <v>146</v>
      </c>
      <c r="E140">
        <v>1300</v>
      </c>
      <c r="F140" s="11">
        <v>720</v>
      </c>
      <c r="G140" s="11">
        <v>720</v>
      </c>
      <c r="J140" s="11">
        <v>510</v>
      </c>
      <c r="K140" s="11">
        <v>510</v>
      </c>
      <c r="O140">
        <v>850</v>
      </c>
      <c r="P140">
        <v>180</v>
      </c>
      <c r="Q140">
        <v>450</v>
      </c>
      <c r="R140">
        <v>400</v>
      </c>
      <c r="T140">
        <v>49</v>
      </c>
      <c r="U140">
        <v>25</v>
      </c>
      <c r="X140">
        <v>100</v>
      </c>
      <c r="Y140">
        <v>101.6</v>
      </c>
      <c r="AA140" t="s">
        <v>552</v>
      </c>
    </row>
    <row r="141" spans="1:27" x14ac:dyDescent="0.25">
      <c r="A141" t="s">
        <v>90</v>
      </c>
      <c r="B141" t="s">
        <v>91</v>
      </c>
      <c r="C141" s="1" t="s">
        <v>560</v>
      </c>
      <c r="D141">
        <v>146</v>
      </c>
      <c r="E141">
        <v>1300</v>
      </c>
      <c r="F141" s="11">
        <v>720</v>
      </c>
      <c r="G141" s="11">
        <v>720</v>
      </c>
      <c r="J141" s="11">
        <v>510</v>
      </c>
      <c r="K141" s="11">
        <v>510</v>
      </c>
      <c r="O141">
        <v>850</v>
      </c>
      <c r="P141">
        <v>180</v>
      </c>
      <c r="Q141">
        <v>450</v>
      </c>
      <c r="R141">
        <v>400</v>
      </c>
      <c r="T141">
        <v>244</v>
      </c>
      <c r="U141">
        <v>45</v>
      </c>
      <c r="X141">
        <v>100</v>
      </c>
      <c r="Y141">
        <v>101.6</v>
      </c>
      <c r="AA141" t="s">
        <v>552</v>
      </c>
    </row>
    <row r="142" spans="1:27" x14ac:dyDescent="0.25">
      <c r="A142" t="s">
        <v>90</v>
      </c>
      <c r="B142" t="s">
        <v>91</v>
      </c>
      <c r="C142" s="1" t="s">
        <v>561</v>
      </c>
      <c r="D142">
        <v>202</v>
      </c>
      <c r="E142">
        <v>1800</v>
      </c>
      <c r="F142" s="11">
        <v>800</v>
      </c>
      <c r="G142" s="11">
        <v>795</v>
      </c>
      <c r="J142" s="11">
        <v>560</v>
      </c>
      <c r="K142" s="11">
        <v>560</v>
      </c>
      <c r="O142">
        <v>950</v>
      </c>
      <c r="P142">
        <v>200</v>
      </c>
      <c r="Q142">
        <v>500</v>
      </c>
      <c r="R142">
        <v>450</v>
      </c>
      <c r="T142">
        <v>83</v>
      </c>
      <c r="U142">
        <v>28</v>
      </c>
      <c r="X142">
        <v>120</v>
      </c>
      <c r="Y142">
        <v>101.6</v>
      </c>
      <c r="AA142" t="s">
        <v>552</v>
      </c>
    </row>
    <row r="143" spans="1:27" x14ac:dyDescent="0.25">
      <c r="A143" t="s">
        <v>90</v>
      </c>
      <c r="B143" t="s">
        <v>91</v>
      </c>
      <c r="C143" s="1" t="s">
        <v>562</v>
      </c>
      <c r="D143">
        <v>202</v>
      </c>
      <c r="E143">
        <v>1800</v>
      </c>
      <c r="F143" s="11">
        <v>800</v>
      </c>
      <c r="G143" s="11">
        <v>795</v>
      </c>
      <c r="J143" s="11">
        <v>560</v>
      </c>
      <c r="K143" s="11">
        <v>560</v>
      </c>
      <c r="O143">
        <v>950</v>
      </c>
      <c r="P143">
        <v>200</v>
      </c>
      <c r="Q143">
        <v>500</v>
      </c>
      <c r="R143">
        <v>450</v>
      </c>
      <c r="T143">
        <v>302</v>
      </c>
      <c r="U143">
        <v>50</v>
      </c>
      <c r="X143">
        <v>120</v>
      </c>
      <c r="Y143">
        <v>101.6</v>
      </c>
      <c r="AA143" t="s">
        <v>552</v>
      </c>
    </row>
    <row r="144" spans="1:27" x14ac:dyDescent="0.25">
      <c r="A144" t="s">
        <v>90</v>
      </c>
      <c r="B144" t="s">
        <v>570</v>
      </c>
      <c r="C144" s="1" t="s">
        <v>563</v>
      </c>
      <c r="D144">
        <v>247</v>
      </c>
      <c r="E144">
        <v>2200</v>
      </c>
      <c r="F144" s="11">
        <v>930</v>
      </c>
      <c r="G144" s="11">
        <v>930</v>
      </c>
      <c r="J144" s="11">
        <v>660</v>
      </c>
      <c r="K144" s="11">
        <v>660</v>
      </c>
      <c r="O144">
        <v>1175</v>
      </c>
      <c r="P144">
        <v>200</v>
      </c>
      <c r="Q144">
        <v>600</v>
      </c>
      <c r="R144">
        <v>575</v>
      </c>
      <c r="T144">
        <v>323</v>
      </c>
      <c r="U144">
        <v>45</v>
      </c>
      <c r="V144">
        <v>2800</v>
      </c>
      <c r="W144">
        <v>1850</v>
      </c>
      <c r="X144">
        <v>220</v>
      </c>
      <c r="Y144">
        <v>101.6</v>
      </c>
      <c r="AA144" t="s">
        <v>567</v>
      </c>
    </row>
    <row r="145" spans="1:27" x14ac:dyDescent="0.25">
      <c r="A145" t="s">
        <v>90</v>
      </c>
      <c r="B145" t="s">
        <v>570</v>
      </c>
      <c r="C145" s="1" t="s">
        <v>564</v>
      </c>
      <c r="D145">
        <v>247</v>
      </c>
      <c r="E145">
        <v>2200</v>
      </c>
      <c r="F145" s="11">
        <v>930</v>
      </c>
      <c r="G145" s="11">
        <v>930</v>
      </c>
      <c r="J145" s="11">
        <v>660</v>
      </c>
      <c r="K145" s="11">
        <v>660</v>
      </c>
      <c r="O145">
        <v>1175</v>
      </c>
      <c r="P145">
        <v>200</v>
      </c>
      <c r="Q145">
        <v>600</v>
      </c>
      <c r="R145">
        <v>575</v>
      </c>
      <c r="T145">
        <v>778</v>
      </c>
      <c r="U145">
        <v>63</v>
      </c>
      <c r="V145">
        <v>2800</v>
      </c>
      <c r="W145">
        <v>1850</v>
      </c>
      <c r="X145">
        <v>220</v>
      </c>
      <c r="Y145">
        <v>101.6</v>
      </c>
      <c r="AA145" t="s">
        <v>567</v>
      </c>
    </row>
    <row r="146" spans="1:27" x14ac:dyDescent="0.25">
      <c r="A146" t="s">
        <v>90</v>
      </c>
      <c r="B146" t="s">
        <v>570</v>
      </c>
      <c r="C146" s="1" t="s">
        <v>566</v>
      </c>
      <c r="D146">
        <v>281</v>
      </c>
      <c r="E146">
        <v>2500</v>
      </c>
      <c r="F146" s="11">
        <v>930</v>
      </c>
      <c r="G146" s="11">
        <v>930</v>
      </c>
      <c r="J146" s="11">
        <v>660</v>
      </c>
      <c r="K146" s="11">
        <v>660</v>
      </c>
      <c r="O146">
        <v>1225</v>
      </c>
      <c r="P146">
        <v>200</v>
      </c>
      <c r="Q146">
        <v>600</v>
      </c>
      <c r="R146">
        <v>625</v>
      </c>
      <c r="T146">
        <v>323</v>
      </c>
      <c r="U146">
        <v>45</v>
      </c>
      <c r="V146">
        <v>2800</v>
      </c>
      <c r="W146">
        <v>1850</v>
      </c>
      <c r="X146">
        <v>220</v>
      </c>
      <c r="Y146">
        <v>101.6</v>
      </c>
      <c r="AA146" t="s">
        <v>567</v>
      </c>
    </row>
    <row r="147" spans="1:27" x14ac:dyDescent="0.25">
      <c r="A147" t="s">
        <v>90</v>
      </c>
      <c r="B147" t="s">
        <v>570</v>
      </c>
      <c r="C147" s="1" t="s">
        <v>565</v>
      </c>
      <c r="D147">
        <v>281</v>
      </c>
      <c r="E147">
        <v>2500</v>
      </c>
      <c r="F147" s="11">
        <v>930</v>
      </c>
      <c r="G147" s="11">
        <v>930</v>
      </c>
      <c r="J147" s="11">
        <v>660</v>
      </c>
      <c r="K147" s="11">
        <v>660</v>
      </c>
      <c r="O147">
        <v>1225</v>
      </c>
      <c r="P147">
        <v>200</v>
      </c>
      <c r="Q147">
        <v>600</v>
      </c>
      <c r="R147">
        <v>625</v>
      </c>
      <c r="T147">
        <v>778</v>
      </c>
      <c r="U147">
        <v>63</v>
      </c>
      <c r="V147">
        <v>2800</v>
      </c>
      <c r="W147">
        <v>1850</v>
      </c>
      <c r="X147">
        <v>220</v>
      </c>
      <c r="Y147">
        <v>101.6</v>
      </c>
      <c r="AA147" t="s">
        <v>567</v>
      </c>
    </row>
    <row r="148" spans="1:27" x14ac:dyDescent="0.25">
      <c r="A148" t="s">
        <v>90</v>
      </c>
      <c r="B148" t="s">
        <v>570</v>
      </c>
      <c r="C148" s="1" t="s">
        <v>568</v>
      </c>
      <c r="D148">
        <v>315</v>
      </c>
      <c r="E148">
        <v>2800</v>
      </c>
      <c r="F148" s="11">
        <v>1020</v>
      </c>
      <c r="G148" s="11">
        <v>1020</v>
      </c>
      <c r="J148" s="11">
        <v>730</v>
      </c>
      <c r="K148" s="11">
        <v>730</v>
      </c>
      <c r="O148">
        <v>1275</v>
      </c>
      <c r="P148">
        <v>300</v>
      </c>
      <c r="Q148">
        <v>650</v>
      </c>
      <c r="R148">
        <v>625</v>
      </c>
      <c r="T148">
        <v>490</v>
      </c>
      <c r="U148">
        <v>50</v>
      </c>
      <c r="V148">
        <v>3800</v>
      </c>
      <c r="W148">
        <v>2500</v>
      </c>
      <c r="X148">
        <v>220</v>
      </c>
      <c r="Y148">
        <v>101.6</v>
      </c>
      <c r="AA148" t="s">
        <v>567</v>
      </c>
    </row>
    <row r="149" spans="1:27" x14ac:dyDescent="0.25">
      <c r="A149" t="s">
        <v>90</v>
      </c>
      <c r="B149" t="s">
        <v>570</v>
      </c>
      <c r="C149" s="1" t="s">
        <v>569</v>
      </c>
      <c r="D149">
        <v>315</v>
      </c>
      <c r="E149">
        <v>2800</v>
      </c>
      <c r="F149" s="11">
        <v>1020</v>
      </c>
      <c r="G149" s="11">
        <v>1020</v>
      </c>
      <c r="J149" s="11">
        <v>730</v>
      </c>
      <c r="K149" s="11">
        <v>730</v>
      </c>
      <c r="O149">
        <v>1275</v>
      </c>
      <c r="P149">
        <v>300</v>
      </c>
      <c r="Q149">
        <v>650</v>
      </c>
      <c r="R149">
        <v>625</v>
      </c>
      <c r="T149">
        <v>1544</v>
      </c>
      <c r="U149">
        <v>80</v>
      </c>
      <c r="V149">
        <v>3800</v>
      </c>
      <c r="W149">
        <v>2500</v>
      </c>
      <c r="X149">
        <v>220</v>
      </c>
      <c r="Y149">
        <v>101.6</v>
      </c>
      <c r="AA149" t="s">
        <v>567</v>
      </c>
    </row>
    <row r="150" spans="1:27" x14ac:dyDescent="0.25">
      <c r="A150" t="s">
        <v>90</v>
      </c>
      <c r="B150" t="s">
        <v>570</v>
      </c>
      <c r="C150" s="1" t="s">
        <v>572</v>
      </c>
      <c r="D150">
        <v>354</v>
      </c>
      <c r="E150">
        <v>3150</v>
      </c>
      <c r="F150" s="11">
        <v>1020</v>
      </c>
      <c r="G150" s="11">
        <v>1020</v>
      </c>
      <c r="J150" s="11">
        <v>730</v>
      </c>
      <c r="K150" s="11">
        <v>730</v>
      </c>
      <c r="O150">
        <v>1325</v>
      </c>
      <c r="P150">
        <v>300</v>
      </c>
      <c r="Q150">
        <v>650</v>
      </c>
      <c r="R150">
        <v>675</v>
      </c>
      <c r="T150">
        <v>490</v>
      </c>
      <c r="U150">
        <v>50</v>
      </c>
      <c r="V150">
        <v>3800</v>
      </c>
      <c r="W150">
        <v>2500</v>
      </c>
      <c r="X150">
        <v>220</v>
      </c>
      <c r="Y150">
        <v>101.6</v>
      </c>
      <c r="AA150" t="s">
        <v>567</v>
      </c>
    </row>
    <row r="151" spans="1:27" x14ac:dyDescent="0.25">
      <c r="A151" t="s">
        <v>90</v>
      </c>
      <c r="B151" t="s">
        <v>570</v>
      </c>
      <c r="C151" s="1" t="s">
        <v>571</v>
      </c>
      <c r="D151">
        <v>354</v>
      </c>
      <c r="E151">
        <v>3150</v>
      </c>
      <c r="F151" s="11">
        <v>1020</v>
      </c>
      <c r="G151" s="11">
        <v>1020</v>
      </c>
      <c r="J151" s="11">
        <v>730</v>
      </c>
      <c r="K151" s="11">
        <v>730</v>
      </c>
      <c r="O151">
        <v>1325</v>
      </c>
      <c r="P151">
        <v>300</v>
      </c>
      <c r="Q151">
        <v>650</v>
      </c>
      <c r="R151">
        <v>675</v>
      </c>
      <c r="T151">
        <v>1544</v>
      </c>
      <c r="U151">
        <v>80</v>
      </c>
      <c r="V151">
        <v>3800</v>
      </c>
      <c r="W151">
        <v>2500</v>
      </c>
      <c r="X151">
        <v>220</v>
      </c>
      <c r="Y151">
        <v>101.6</v>
      </c>
      <c r="AA151" t="s">
        <v>567</v>
      </c>
    </row>
    <row r="152" spans="1:27" x14ac:dyDescent="0.25">
      <c r="A152" t="s">
        <v>90</v>
      </c>
      <c r="B152" t="s">
        <v>570</v>
      </c>
      <c r="C152" s="1" t="s">
        <v>574</v>
      </c>
      <c r="D152">
        <v>393</v>
      </c>
      <c r="E152">
        <v>3500</v>
      </c>
      <c r="F152" s="11">
        <v>1140</v>
      </c>
      <c r="G152" s="11">
        <v>1140</v>
      </c>
      <c r="J152" s="11">
        <v>830</v>
      </c>
      <c r="K152" s="11">
        <v>830</v>
      </c>
      <c r="O152">
        <v>1425</v>
      </c>
      <c r="P152">
        <v>350</v>
      </c>
      <c r="Q152">
        <v>700</v>
      </c>
      <c r="R152">
        <v>725</v>
      </c>
      <c r="T152">
        <v>490</v>
      </c>
      <c r="U152">
        <v>50</v>
      </c>
      <c r="V152">
        <v>5200</v>
      </c>
      <c r="W152">
        <v>3450</v>
      </c>
      <c r="X152">
        <v>220</v>
      </c>
      <c r="Y152">
        <v>101.6</v>
      </c>
      <c r="AA152" t="s">
        <v>567</v>
      </c>
    </row>
    <row r="153" spans="1:27" x14ac:dyDescent="0.25">
      <c r="A153" t="s">
        <v>90</v>
      </c>
      <c r="B153" t="s">
        <v>570</v>
      </c>
      <c r="C153" s="1" t="s">
        <v>573</v>
      </c>
      <c r="D153">
        <v>393</v>
      </c>
      <c r="E153">
        <v>3500</v>
      </c>
      <c r="F153" s="11">
        <v>1140</v>
      </c>
      <c r="G153" s="11">
        <v>1140</v>
      </c>
      <c r="J153" s="11">
        <v>830</v>
      </c>
      <c r="K153" s="11">
        <v>830</v>
      </c>
      <c r="O153">
        <v>1425</v>
      </c>
      <c r="P153">
        <v>350</v>
      </c>
      <c r="Q153">
        <v>700</v>
      </c>
      <c r="R153">
        <v>725</v>
      </c>
      <c r="T153">
        <v>1544</v>
      </c>
      <c r="U153">
        <v>80</v>
      </c>
      <c r="V153">
        <v>5200</v>
      </c>
      <c r="W153">
        <v>3450</v>
      </c>
      <c r="X153">
        <v>220</v>
      </c>
      <c r="Y153">
        <v>101.6</v>
      </c>
      <c r="AA153" t="s">
        <v>567</v>
      </c>
    </row>
    <row r="154" spans="1:27" x14ac:dyDescent="0.25">
      <c r="A154" t="s">
        <v>90</v>
      </c>
      <c r="B154" t="s">
        <v>570</v>
      </c>
      <c r="C154" s="1" t="s">
        <v>577</v>
      </c>
      <c r="D154">
        <v>433</v>
      </c>
      <c r="E154">
        <v>3850</v>
      </c>
      <c r="F154" s="11">
        <v>1140</v>
      </c>
      <c r="G154" s="11">
        <v>1140</v>
      </c>
      <c r="J154" s="11">
        <v>830</v>
      </c>
      <c r="K154" s="11">
        <v>830</v>
      </c>
      <c r="O154">
        <v>1475</v>
      </c>
      <c r="P154">
        <v>350</v>
      </c>
      <c r="Q154">
        <v>700</v>
      </c>
      <c r="R154">
        <v>775</v>
      </c>
      <c r="T154">
        <v>490</v>
      </c>
      <c r="U154">
        <v>50</v>
      </c>
      <c r="V154">
        <v>5200</v>
      </c>
      <c r="W154">
        <v>3450</v>
      </c>
      <c r="X154">
        <v>220</v>
      </c>
      <c r="Y154">
        <v>101.6</v>
      </c>
      <c r="AA154" t="s">
        <v>567</v>
      </c>
    </row>
    <row r="155" spans="1:27" x14ac:dyDescent="0.25">
      <c r="A155" t="s">
        <v>90</v>
      </c>
      <c r="B155" t="s">
        <v>570</v>
      </c>
      <c r="C155" s="1" t="s">
        <v>578</v>
      </c>
      <c r="D155">
        <v>433</v>
      </c>
      <c r="E155">
        <v>3850</v>
      </c>
      <c r="F155" s="11">
        <v>1140</v>
      </c>
      <c r="G155" s="11">
        <v>1140</v>
      </c>
      <c r="J155" s="11">
        <v>830</v>
      </c>
      <c r="K155" s="11">
        <v>830</v>
      </c>
      <c r="O155">
        <v>1475</v>
      </c>
      <c r="P155">
        <v>350</v>
      </c>
      <c r="Q155">
        <v>700</v>
      </c>
      <c r="R155">
        <v>775</v>
      </c>
      <c r="T155">
        <v>1544</v>
      </c>
      <c r="U155">
        <v>80</v>
      </c>
      <c r="V155">
        <v>5200</v>
      </c>
      <c r="W155">
        <v>3450</v>
      </c>
      <c r="X155">
        <v>220</v>
      </c>
      <c r="Y155">
        <v>101.6</v>
      </c>
      <c r="AA155" t="s">
        <v>567</v>
      </c>
    </row>
    <row r="156" spans="1:27" x14ac:dyDescent="0.25">
      <c r="A156" t="s">
        <v>90</v>
      </c>
      <c r="B156" t="s">
        <v>570</v>
      </c>
      <c r="C156" s="1" t="s">
        <v>575</v>
      </c>
      <c r="D156">
        <v>506</v>
      </c>
      <c r="E156">
        <v>4500</v>
      </c>
      <c r="F156" s="11">
        <v>1300</v>
      </c>
      <c r="G156" s="11">
        <v>1300</v>
      </c>
      <c r="J156" s="11">
        <v>920</v>
      </c>
      <c r="K156" s="11">
        <v>920</v>
      </c>
      <c r="O156">
        <v>1625</v>
      </c>
      <c r="P156">
        <v>350</v>
      </c>
      <c r="Q156">
        <v>800</v>
      </c>
      <c r="R156">
        <v>825</v>
      </c>
      <c r="T156">
        <v>957</v>
      </c>
      <c r="U156">
        <v>63</v>
      </c>
      <c r="V156">
        <v>7500</v>
      </c>
      <c r="W156">
        <v>5000</v>
      </c>
      <c r="X156">
        <v>220</v>
      </c>
      <c r="Y156">
        <v>101.6</v>
      </c>
      <c r="AA156" t="s">
        <v>567</v>
      </c>
    </row>
    <row r="157" spans="1:27" x14ac:dyDescent="0.25">
      <c r="A157" t="s">
        <v>90</v>
      </c>
      <c r="B157" t="s">
        <v>570</v>
      </c>
      <c r="C157" s="1" t="s">
        <v>576</v>
      </c>
      <c r="D157">
        <v>506</v>
      </c>
      <c r="E157">
        <v>4500</v>
      </c>
      <c r="F157" s="11">
        <v>1300</v>
      </c>
      <c r="G157" s="11">
        <v>1300</v>
      </c>
      <c r="J157" s="11">
        <v>920</v>
      </c>
      <c r="K157" s="11">
        <v>920</v>
      </c>
      <c r="O157">
        <v>1625</v>
      </c>
      <c r="P157">
        <v>350</v>
      </c>
      <c r="Q157">
        <v>800</v>
      </c>
      <c r="R157">
        <v>825</v>
      </c>
      <c r="T157">
        <v>2198</v>
      </c>
      <c r="U157">
        <v>90</v>
      </c>
      <c r="V157">
        <v>7500</v>
      </c>
      <c r="W157">
        <v>5000</v>
      </c>
      <c r="X157">
        <v>220</v>
      </c>
      <c r="Y157">
        <v>101.6</v>
      </c>
      <c r="AA157" t="s">
        <v>567</v>
      </c>
    </row>
    <row r="158" spans="1:27" x14ac:dyDescent="0.25">
      <c r="A158" t="s">
        <v>90</v>
      </c>
      <c r="B158" t="s">
        <v>570</v>
      </c>
      <c r="C158" s="1" t="s">
        <v>579</v>
      </c>
      <c r="D158">
        <v>562</v>
      </c>
      <c r="E158">
        <v>5000</v>
      </c>
      <c r="F158" s="11">
        <v>1300</v>
      </c>
      <c r="G158" s="11">
        <v>1300</v>
      </c>
      <c r="J158" s="11">
        <v>920</v>
      </c>
      <c r="K158" s="11">
        <v>920</v>
      </c>
      <c r="O158">
        <v>1675</v>
      </c>
      <c r="P158">
        <v>350</v>
      </c>
      <c r="Q158">
        <v>800</v>
      </c>
      <c r="R158">
        <v>875</v>
      </c>
      <c r="T158">
        <v>957</v>
      </c>
      <c r="U158">
        <v>63</v>
      </c>
      <c r="V158">
        <v>7500</v>
      </c>
      <c r="W158">
        <v>5000</v>
      </c>
      <c r="X158">
        <v>220</v>
      </c>
      <c r="Y158">
        <v>101.6</v>
      </c>
      <c r="AA158" t="s">
        <v>567</v>
      </c>
    </row>
    <row r="159" spans="1:27" x14ac:dyDescent="0.25">
      <c r="A159" t="s">
        <v>90</v>
      </c>
      <c r="B159" t="s">
        <v>570</v>
      </c>
      <c r="C159" s="1" t="s">
        <v>580</v>
      </c>
      <c r="D159">
        <v>562</v>
      </c>
      <c r="E159">
        <v>5000</v>
      </c>
      <c r="F159" s="11">
        <v>1300</v>
      </c>
      <c r="G159" s="11">
        <v>1300</v>
      </c>
      <c r="J159" s="11">
        <v>920</v>
      </c>
      <c r="K159" s="11">
        <v>920</v>
      </c>
      <c r="O159">
        <v>1675</v>
      </c>
      <c r="P159">
        <v>350</v>
      </c>
      <c r="Q159">
        <v>800</v>
      </c>
      <c r="R159">
        <v>875</v>
      </c>
      <c r="T159">
        <v>2198</v>
      </c>
      <c r="U159">
        <v>90</v>
      </c>
      <c r="V159">
        <v>7500</v>
      </c>
      <c r="W159">
        <v>5000</v>
      </c>
      <c r="X159">
        <v>220</v>
      </c>
      <c r="Y159">
        <v>101.6</v>
      </c>
      <c r="AA159" t="s">
        <v>567</v>
      </c>
    </row>
    <row r="160" spans="1:27" x14ac:dyDescent="0.25">
      <c r="A160" t="s">
        <v>90</v>
      </c>
      <c r="B160" t="s">
        <v>330</v>
      </c>
      <c r="C160" s="1" t="s">
        <v>332</v>
      </c>
      <c r="D160">
        <v>506</v>
      </c>
      <c r="E160">
        <v>4500</v>
      </c>
      <c r="F160" s="11">
        <v>1300</v>
      </c>
      <c r="G160" s="11">
        <v>1300</v>
      </c>
      <c r="J160" s="11">
        <v>920</v>
      </c>
      <c r="K160" s="11">
        <v>920</v>
      </c>
      <c r="O160">
        <v>1625</v>
      </c>
      <c r="P160">
        <v>350</v>
      </c>
      <c r="Q160">
        <v>800</v>
      </c>
      <c r="R160">
        <v>825</v>
      </c>
      <c r="T160">
        <v>390</v>
      </c>
      <c r="U160">
        <v>50</v>
      </c>
      <c r="V160">
        <v>7500</v>
      </c>
      <c r="W160">
        <v>5000</v>
      </c>
      <c r="X160">
        <v>220</v>
      </c>
      <c r="Y160">
        <v>150</v>
      </c>
    </row>
    <row r="161" spans="1:27" x14ac:dyDescent="0.25">
      <c r="A161" t="s">
        <v>90</v>
      </c>
      <c r="B161" t="s">
        <v>330</v>
      </c>
      <c r="C161" s="1" t="s">
        <v>333</v>
      </c>
      <c r="D161">
        <v>506</v>
      </c>
      <c r="E161">
        <v>4500</v>
      </c>
      <c r="F161" s="11">
        <v>1300</v>
      </c>
      <c r="G161" s="11">
        <v>1300</v>
      </c>
      <c r="J161" s="11">
        <v>920</v>
      </c>
      <c r="K161" s="11">
        <v>920</v>
      </c>
      <c r="O161">
        <v>1625</v>
      </c>
      <c r="P161">
        <v>350</v>
      </c>
      <c r="Q161">
        <v>800</v>
      </c>
      <c r="R161">
        <v>825</v>
      </c>
      <c r="T161">
        <v>1390</v>
      </c>
      <c r="U161">
        <v>80</v>
      </c>
      <c r="V161">
        <v>7500</v>
      </c>
      <c r="W161">
        <v>5000</v>
      </c>
      <c r="X161">
        <v>220</v>
      </c>
      <c r="Y161">
        <v>150</v>
      </c>
    </row>
    <row r="162" spans="1:27" x14ac:dyDescent="0.25">
      <c r="A162" t="s">
        <v>321</v>
      </c>
      <c r="B162" t="s">
        <v>322</v>
      </c>
      <c r="C162" s="1" t="s">
        <v>454</v>
      </c>
      <c r="D162">
        <v>33</v>
      </c>
      <c r="E162">
        <f t="shared" ref="E162:E173" si="5">D162*10</f>
        <v>330</v>
      </c>
      <c r="F162" s="11">
        <v>440</v>
      </c>
      <c r="G162" s="11">
        <v>420</v>
      </c>
      <c r="H162">
        <v>17.3</v>
      </c>
      <c r="I162">
        <v>16.5</v>
      </c>
      <c r="J162" s="11">
        <v>320</v>
      </c>
      <c r="K162" s="11">
        <v>290</v>
      </c>
      <c r="L162" s="20">
        <v>12.6</v>
      </c>
      <c r="M162" s="20">
        <v>11.4</v>
      </c>
      <c r="O162">
        <v>560</v>
      </c>
      <c r="P162">
        <v>150</v>
      </c>
      <c r="Q162">
        <v>330</v>
      </c>
      <c r="R162">
        <v>230</v>
      </c>
      <c r="T162">
        <v>13</v>
      </c>
      <c r="U162">
        <v>16</v>
      </c>
      <c r="X162">
        <v>50</v>
      </c>
      <c r="AA162" t="s">
        <v>324</v>
      </c>
    </row>
    <row r="163" spans="1:27" x14ac:dyDescent="0.25">
      <c r="A163" t="s">
        <v>321</v>
      </c>
      <c r="B163" t="s">
        <v>322</v>
      </c>
      <c r="C163" s="1" t="s">
        <v>455</v>
      </c>
      <c r="D163">
        <v>33</v>
      </c>
      <c r="E163">
        <f t="shared" si="5"/>
        <v>330</v>
      </c>
      <c r="F163" s="11">
        <v>440</v>
      </c>
      <c r="G163" s="11">
        <v>420</v>
      </c>
      <c r="H163">
        <v>17.3</v>
      </c>
      <c r="I163">
        <v>16.5</v>
      </c>
      <c r="J163" s="11">
        <v>320</v>
      </c>
      <c r="K163" s="11">
        <v>290</v>
      </c>
      <c r="L163" s="20">
        <v>12.6</v>
      </c>
      <c r="M163" s="20">
        <v>11.4</v>
      </c>
      <c r="O163">
        <v>560</v>
      </c>
      <c r="P163">
        <v>150</v>
      </c>
      <c r="Q163">
        <v>330</v>
      </c>
      <c r="R163">
        <v>230</v>
      </c>
      <c r="T163">
        <v>16</v>
      </c>
      <c r="U163">
        <v>18</v>
      </c>
      <c r="X163">
        <v>50</v>
      </c>
      <c r="AA163" t="s">
        <v>324</v>
      </c>
    </row>
    <row r="164" spans="1:27" x14ac:dyDescent="0.25">
      <c r="A164" t="s">
        <v>321</v>
      </c>
      <c r="B164" t="s">
        <v>322</v>
      </c>
      <c r="C164" s="1" t="s">
        <v>445</v>
      </c>
      <c r="D164">
        <v>55</v>
      </c>
      <c r="E164">
        <f t="shared" si="5"/>
        <v>550</v>
      </c>
      <c r="F164" s="11">
        <v>510</v>
      </c>
      <c r="G164" s="11">
        <f>25.4*I164</f>
        <v>459.74</v>
      </c>
      <c r="H164">
        <v>20.100000000000001</v>
      </c>
      <c r="I164">
        <v>18.100000000000001</v>
      </c>
      <c r="J164" s="11">
        <v>410</v>
      </c>
      <c r="K164" s="11">
        <v>360</v>
      </c>
      <c r="L164" s="20">
        <v>16.100000000000001</v>
      </c>
      <c r="M164" s="20">
        <v>14.2</v>
      </c>
      <c r="O164">
        <v>670</v>
      </c>
      <c r="P164">
        <v>150</v>
      </c>
      <c r="Q164">
        <v>370</v>
      </c>
      <c r="R164">
        <v>300</v>
      </c>
      <c r="T164">
        <v>29</v>
      </c>
      <c r="U164">
        <v>20</v>
      </c>
      <c r="X164">
        <v>70</v>
      </c>
      <c r="AA164" t="s">
        <v>324</v>
      </c>
    </row>
    <row r="165" spans="1:27" x14ac:dyDescent="0.25">
      <c r="A165" t="s">
        <v>321</v>
      </c>
      <c r="B165" t="s">
        <v>322</v>
      </c>
      <c r="C165" s="1" t="s">
        <v>446</v>
      </c>
      <c r="D165">
        <v>55</v>
      </c>
      <c r="E165">
        <f t="shared" si="5"/>
        <v>550</v>
      </c>
      <c r="F165" s="11">
        <v>510</v>
      </c>
      <c r="G165" s="11">
        <f>25.4*I165</f>
        <v>459.74</v>
      </c>
      <c r="H165">
        <v>20.100000000000001</v>
      </c>
      <c r="I165">
        <v>18.100000000000001</v>
      </c>
      <c r="J165" s="11">
        <v>410</v>
      </c>
      <c r="K165" s="11">
        <v>360</v>
      </c>
      <c r="L165" s="20">
        <v>16.100000000000001</v>
      </c>
      <c r="M165" s="20">
        <v>14.2</v>
      </c>
      <c r="O165">
        <v>670</v>
      </c>
      <c r="P165">
        <v>150</v>
      </c>
      <c r="Q165">
        <v>370</v>
      </c>
      <c r="R165">
        <v>300</v>
      </c>
      <c r="T165">
        <v>35</v>
      </c>
      <c r="U165">
        <v>22</v>
      </c>
      <c r="X165">
        <v>70</v>
      </c>
      <c r="AA165" t="s">
        <v>324</v>
      </c>
    </row>
    <row r="166" spans="1:27" x14ac:dyDescent="0.25">
      <c r="A166" t="s">
        <v>321</v>
      </c>
      <c r="B166" t="s">
        <v>322</v>
      </c>
      <c r="C166" s="1" t="s">
        <v>447</v>
      </c>
      <c r="D166">
        <v>55</v>
      </c>
      <c r="E166">
        <f t="shared" si="5"/>
        <v>550</v>
      </c>
      <c r="F166" s="11">
        <v>510</v>
      </c>
      <c r="G166" s="11">
        <f>25.4*I166</f>
        <v>459.74</v>
      </c>
      <c r="H166">
        <v>20.100000000000001</v>
      </c>
      <c r="I166">
        <v>18.100000000000001</v>
      </c>
      <c r="J166" s="11">
        <v>410</v>
      </c>
      <c r="K166" s="11">
        <v>360</v>
      </c>
      <c r="L166" s="20">
        <v>16.100000000000001</v>
      </c>
      <c r="M166" s="20">
        <v>14.2</v>
      </c>
      <c r="O166">
        <v>670</v>
      </c>
      <c r="P166">
        <v>150</v>
      </c>
      <c r="Q166">
        <v>370</v>
      </c>
      <c r="R166">
        <v>300</v>
      </c>
      <c r="T166">
        <v>51</v>
      </c>
      <c r="U166">
        <v>25</v>
      </c>
      <c r="X166">
        <v>70</v>
      </c>
      <c r="AA166" t="s">
        <v>324</v>
      </c>
    </row>
    <row r="167" spans="1:27" x14ac:dyDescent="0.25">
      <c r="A167" t="s">
        <v>321</v>
      </c>
      <c r="B167" t="s">
        <v>322</v>
      </c>
      <c r="C167" s="1" t="s">
        <v>448</v>
      </c>
      <c r="D167">
        <v>55</v>
      </c>
      <c r="E167">
        <f t="shared" si="5"/>
        <v>550</v>
      </c>
      <c r="F167" s="11">
        <v>510</v>
      </c>
      <c r="G167" s="11">
        <f>25.4*I167</f>
        <v>459.74</v>
      </c>
      <c r="H167">
        <v>20.100000000000001</v>
      </c>
      <c r="I167">
        <v>18.100000000000001</v>
      </c>
      <c r="J167" s="11">
        <v>410</v>
      </c>
      <c r="K167" s="11">
        <v>360</v>
      </c>
      <c r="L167" s="20">
        <v>16.100000000000001</v>
      </c>
      <c r="M167" s="20">
        <v>14.2</v>
      </c>
      <c r="O167">
        <v>670</v>
      </c>
      <c r="P167">
        <v>150</v>
      </c>
      <c r="Q167">
        <v>370</v>
      </c>
      <c r="R167">
        <v>300</v>
      </c>
      <c r="T167">
        <v>63</v>
      </c>
      <c r="U167">
        <v>28</v>
      </c>
      <c r="X167">
        <v>70</v>
      </c>
      <c r="AA167" t="s">
        <v>324</v>
      </c>
    </row>
    <row r="168" spans="1:27" x14ac:dyDescent="0.25">
      <c r="A168" t="s">
        <v>321</v>
      </c>
      <c r="B168" t="s">
        <v>322</v>
      </c>
      <c r="C168" s="1" t="s">
        <v>449</v>
      </c>
      <c r="D168">
        <v>83</v>
      </c>
      <c r="E168">
        <f t="shared" si="5"/>
        <v>830</v>
      </c>
      <c r="F168" s="11">
        <v>580</v>
      </c>
      <c r="G168" s="11">
        <v>530</v>
      </c>
      <c r="H168">
        <v>22.8</v>
      </c>
      <c r="I168">
        <v>20.9</v>
      </c>
      <c r="J168" s="11">
        <v>410</v>
      </c>
      <c r="K168" s="11">
        <v>360</v>
      </c>
      <c r="L168" s="20">
        <v>16.100000000000001</v>
      </c>
      <c r="M168" s="20">
        <v>14.2</v>
      </c>
      <c r="O168">
        <v>770</v>
      </c>
      <c r="P168">
        <v>150</v>
      </c>
      <c r="Q168">
        <v>470</v>
      </c>
      <c r="R168">
        <v>300</v>
      </c>
      <c r="T168">
        <v>35</v>
      </c>
      <c r="U168">
        <v>22</v>
      </c>
      <c r="X168">
        <v>70</v>
      </c>
      <c r="AA168" t="s">
        <v>324</v>
      </c>
    </row>
    <row r="169" spans="1:27" x14ac:dyDescent="0.25">
      <c r="A169" t="s">
        <v>321</v>
      </c>
      <c r="B169" t="s">
        <v>322</v>
      </c>
      <c r="C169" s="1" t="s">
        <v>450</v>
      </c>
      <c r="D169">
        <v>83</v>
      </c>
      <c r="E169">
        <f t="shared" si="5"/>
        <v>830</v>
      </c>
      <c r="F169" s="11">
        <v>580</v>
      </c>
      <c r="G169" s="11">
        <v>530</v>
      </c>
      <c r="H169">
        <v>22.8</v>
      </c>
      <c r="I169">
        <v>20.9</v>
      </c>
      <c r="J169" s="11">
        <v>410</v>
      </c>
      <c r="K169" s="11">
        <v>360</v>
      </c>
      <c r="L169" s="20">
        <v>16.100000000000001</v>
      </c>
      <c r="M169" s="20">
        <v>14.2</v>
      </c>
      <c r="O169">
        <v>770</v>
      </c>
      <c r="P169">
        <v>150</v>
      </c>
      <c r="Q169">
        <v>470</v>
      </c>
      <c r="R169">
        <v>300</v>
      </c>
      <c r="T169">
        <v>51</v>
      </c>
      <c r="U169">
        <v>25</v>
      </c>
      <c r="X169">
        <v>70</v>
      </c>
      <c r="AA169" t="s">
        <v>324</v>
      </c>
    </row>
    <row r="170" spans="1:27" x14ac:dyDescent="0.25">
      <c r="A170" t="s">
        <v>321</v>
      </c>
      <c r="B170" t="s">
        <v>322</v>
      </c>
      <c r="C170" s="1" t="s">
        <v>451</v>
      </c>
      <c r="D170">
        <v>83</v>
      </c>
      <c r="E170">
        <f t="shared" si="5"/>
        <v>830</v>
      </c>
      <c r="F170" s="11">
        <v>580</v>
      </c>
      <c r="G170" s="11">
        <v>530</v>
      </c>
      <c r="H170">
        <v>22.8</v>
      </c>
      <c r="I170">
        <v>20.9</v>
      </c>
      <c r="J170" s="11">
        <v>410</v>
      </c>
      <c r="K170" s="11">
        <v>360</v>
      </c>
      <c r="L170" s="20">
        <v>16.100000000000001</v>
      </c>
      <c r="M170" s="20">
        <v>14.2</v>
      </c>
      <c r="O170">
        <v>770</v>
      </c>
      <c r="P170">
        <v>150</v>
      </c>
      <c r="Q170">
        <v>470</v>
      </c>
      <c r="R170">
        <v>300</v>
      </c>
      <c r="T170">
        <v>72</v>
      </c>
      <c r="U170">
        <v>28</v>
      </c>
      <c r="X170">
        <v>70</v>
      </c>
      <c r="AA170" t="s">
        <v>324</v>
      </c>
    </row>
    <row r="171" spans="1:27" x14ac:dyDescent="0.25">
      <c r="A171" t="s">
        <v>321</v>
      </c>
      <c r="B171" t="s">
        <v>322</v>
      </c>
      <c r="C171" s="1" t="s">
        <v>452</v>
      </c>
      <c r="D171">
        <v>83</v>
      </c>
      <c r="E171">
        <f t="shared" si="5"/>
        <v>830</v>
      </c>
      <c r="F171" s="11">
        <v>580</v>
      </c>
      <c r="G171" s="11">
        <v>530</v>
      </c>
      <c r="H171">
        <v>22.8</v>
      </c>
      <c r="I171">
        <v>20.9</v>
      </c>
      <c r="J171" s="11">
        <v>410</v>
      </c>
      <c r="K171" s="11">
        <v>360</v>
      </c>
      <c r="L171" s="20">
        <v>16.100000000000001</v>
      </c>
      <c r="M171" s="20">
        <v>14.2</v>
      </c>
      <c r="O171">
        <v>770</v>
      </c>
      <c r="P171">
        <v>150</v>
      </c>
      <c r="Q171">
        <v>470</v>
      </c>
      <c r="R171">
        <v>300</v>
      </c>
      <c r="T171">
        <v>94</v>
      </c>
      <c r="U171">
        <v>32</v>
      </c>
      <c r="X171">
        <v>70</v>
      </c>
      <c r="AA171" t="s">
        <v>324</v>
      </c>
    </row>
    <row r="172" spans="1:27" x14ac:dyDescent="0.25">
      <c r="A172" t="s">
        <v>321</v>
      </c>
      <c r="B172" t="s">
        <v>322</v>
      </c>
      <c r="C172" s="1" t="s">
        <v>453</v>
      </c>
      <c r="D172">
        <v>83</v>
      </c>
      <c r="E172">
        <f t="shared" si="5"/>
        <v>830</v>
      </c>
      <c r="F172" s="11">
        <v>580</v>
      </c>
      <c r="G172" s="11">
        <v>530</v>
      </c>
      <c r="H172">
        <v>22.8</v>
      </c>
      <c r="I172">
        <v>20.9</v>
      </c>
      <c r="J172" s="11">
        <v>410</v>
      </c>
      <c r="K172" s="11">
        <v>360</v>
      </c>
      <c r="L172" s="20">
        <v>16.100000000000001</v>
      </c>
      <c r="M172" s="20">
        <v>14.2</v>
      </c>
      <c r="O172">
        <v>770</v>
      </c>
      <c r="P172">
        <v>150</v>
      </c>
      <c r="Q172">
        <v>470</v>
      </c>
      <c r="R172">
        <v>300</v>
      </c>
      <c r="T172">
        <v>120</v>
      </c>
      <c r="U172">
        <v>36</v>
      </c>
      <c r="X172">
        <v>70</v>
      </c>
      <c r="AA172" t="s">
        <v>324</v>
      </c>
    </row>
    <row r="173" spans="1:27" x14ac:dyDescent="0.25">
      <c r="A173" t="s">
        <v>321</v>
      </c>
      <c r="B173" t="s">
        <v>322</v>
      </c>
      <c r="C173" s="1" t="s">
        <v>323</v>
      </c>
      <c r="D173">
        <v>198</v>
      </c>
      <c r="E173">
        <f t="shared" si="5"/>
        <v>1980</v>
      </c>
      <c r="F173" s="11">
        <v>790</v>
      </c>
      <c r="G173" s="11">
        <v>740</v>
      </c>
      <c r="J173" s="11">
        <v>560</v>
      </c>
      <c r="K173" s="11">
        <v>510</v>
      </c>
      <c r="O173">
        <v>1050</v>
      </c>
      <c r="P173">
        <v>200</v>
      </c>
      <c r="Q173">
        <v>600</v>
      </c>
      <c r="R173">
        <v>450</v>
      </c>
      <c r="T173">
        <v>292</v>
      </c>
      <c r="U173">
        <v>45</v>
      </c>
      <c r="X173">
        <v>130</v>
      </c>
      <c r="AA173" t="s">
        <v>324</v>
      </c>
    </row>
    <row r="174" spans="1:27" x14ac:dyDescent="0.25">
      <c r="A174" t="s">
        <v>321</v>
      </c>
      <c r="B174" t="s">
        <v>322</v>
      </c>
      <c r="C174" s="1" t="s">
        <v>581</v>
      </c>
      <c r="D174">
        <v>254</v>
      </c>
      <c r="E174">
        <v>2300</v>
      </c>
      <c r="F174" s="11">
        <v>880</v>
      </c>
      <c r="G174" s="11">
        <v>830</v>
      </c>
      <c r="H174">
        <v>34.6</v>
      </c>
      <c r="I174">
        <v>32.700000000000003</v>
      </c>
      <c r="J174" s="11">
        <v>610</v>
      </c>
      <c r="K174" s="11">
        <v>560</v>
      </c>
      <c r="L174" s="20">
        <v>24</v>
      </c>
      <c r="M174" s="20">
        <v>22</v>
      </c>
      <c r="O174">
        <v>1230</v>
      </c>
      <c r="P174">
        <v>250</v>
      </c>
      <c r="Q174">
        <v>680</v>
      </c>
      <c r="R174">
        <v>550</v>
      </c>
      <c r="T174">
        <v>145</v>
      </c>
      <c r="U174">
        <v>36</v>
      </c>
      <c r="X174">
        <v>130</v>
      </c>
      <c r="AA174" t="s">
        <v>324</v>
      </c>
    </row>
    <row r="175" spans="1:27" x14ac:dyDescent="0.25">
      <c r="A175" t="s">
        <v>321</v>
      </c>
      <c r="B175" t="s">
        <v>322</v>
      </c>
      <c r="C175" s="1" t="s">
        <v>582</v>
      </c>
      <c r="D175">
        <v>254</v>
      </c>
      <c r="E175">
        <v>2300</v>
      </c>
      <c r="F175" s="11">
        <v>880</v>
      </c>
      <c r="G175" s="11">
        <v>830</v>
      </c>
      <c r="H175">
        <v>34.6</v>
      </c>
      <c r="I175">
        <v>32.700000000000003</v>
      </c>
      <c r="J175" s="11">
        <v>610</v>
      </c>
      <c r="K175" s="11">
        <v>560</v>
      </c>
      <c r="L175" s="20">
        <v>24</v>
      </c>
      <c r="M175" s="20">
        <v>22</v>
      </c>
      <c r="O175">
        <v>1230</v>
      </c>
      <c r="P175">
        <v>250</v>
      </c>
      <c r="Q175">
        <v>680</v>
      </c>
      <c r="R175">
        <v>550</v>
      </c>
      <c r="T175">
        <v>437</v>
      </c>
      <c r="U175">
        <v>55</v>
      </c>
      <c r="X175">
        <v>130</v>
      </c>
      <c r="AA175" t="s">
        <v>324</v>
      </c>
    </row>
    <row r="176" spans="1:27" x14ac:dyDescent="0.25">
      <c r="A176" t="s">
        <v>321</v>
      </c>
      <c r="B176" t="s">
        <v>322</v>
      </c>
      <c r="C176" s="1" t="s">
        <v>583</v>
      </c>
      <c r="D176">
        <v>254</v>
      </c>
      <c r="E176">
        <v>2300</v>
      </c>
      <c r="F176" s="11">
        <v>880</v>
      </c>
      <c r="G176" s="11">
        <v>830</v>
      </c>
      <c r="H176">
        <v>34.6</v>
      </c>
      <c r="I176">
        <v>32.700000000000003</v>
      </c>
      <c r="J176" s="11">
        <v>610</v>
      </c>
      <c r="K176" s="11">
        <v>560</v>
      </c>
      <c r="L176" s="20">
        <v>24</v>
      </c>
      <c r="M176" s="20">
        <v>22</v>
      </c>
      <c r="O176">
        <v>1230</v>
      </c>
      <c r="P176">
        <v>250</v>
      </c>
      <c r="Q176">
        <v>680</v>
      </c>
      <c r="R176">
        <v>550</v>
      </c>
      <c r="T176">
        <v>1063</v>
      </c>
      <c r="U176">
        <v>70</v>
      </c>
      <c r="X176">
        <v>130</v>
      </c>
      <c r="AA176" t="s">
        <v>324</v>
      </c>
    </row>
    <row r="177" spans="1:24" x14ac:dyDescent="0.25">
      <c r="A177" t="s">
        <v>325</v>
      </c>
      <c r="B177" t="s">
        <v>326</v>
      </c>
      <c r="C177" s="1" t="s">
        <v>327</v>
      </c>
      <c r="D177">
        <v>300</v>
      </c>
      <c r="E177">
        <v>3000</v>
      </c>
      <c r="F177" s="11">
        <v>970</v>
      </c>
      <c r="G177" s="11">
        <v>970</v>
      </c>
      <c r="J177" s="11">
        <v>720</v>
      </c>
      <c r="K177" s="11">
        <v>720</v>
      </c>
      <c r="O177">
        <v>900</v>
      </c>
      <c r="P177">
        <v>250</v>
      </c>
      <c r="Q177">
        <v>650</v>
      </c>
      <c r="R177">
        <v>610</v>
      </c>
      <c r="T177">
        <v>341</v>
      </c>
      <c r="U177">
        <v>48</v>
      </c>
      <c r="X177">
        <v>150</v>
      </c>
    </row>
  </sheetData>
  <sortState xmlns:xlrd2="http://schemas.microsoft.com/office/spreadsheetml/2017/richdata2" ref="A3:AA174">
    <sortCondition ref="A3:A174"/>
  </sortState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A1:AA284"/>
  <sheetViews>
    <sheetView workbookViewId="0">
      <pane ySplit="1" topLeftCell="A204" activePane="bottomLeft" state="frozen"/>
      <selection pane="bottomLeft" activeCell="A207" sqref="A207:XFD216"/>
    </sheetView>
  </sheetViews>
  <sheetFormatPr defaultRowHeight="15" x14ac:dyDescent="0.25"/>
  <cols>
    <col min="2" max="2" width="17.7109375" style="2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3" t="s">
        <v>312</v>
      </c>
      <c r="C1" s="4" t="s">
        <v>275</v>
      </c>
      <c r="D1" s="4" t="s">
        <v>285</v>
      </c>
      <c r="E1" s="3" t="s">
        <v>311</v>
      </c>
    </row>
    <row r="2" spans="2:5" x14ac:dyDescent="0.25">
      <c r="B2" s="2" t="s">
        <v>268</v>
      </c>
      <c r="C2" t="s">
        <v>269</v>
      </c>
    </row>
    <row r="3" spans="2:5" x14ac:dyDescent="0.25">
      <c r="B3" s="2" t="s">
        <v>270</v>
      </c>
      <c r="C3" t="s">
        <v>271</v>
      </c>
    </row>
    <row r="4" spans="2:5" x14ac:dyDescent="0.25">
      <c r="B4" s="2" t="s">
        <v>272</v>
      </c>
      <c r="C4" t="s">
        <v>273</v>
      </c>
    </row>
    <row r="6" spans="2:5" x14ac:dyDescent="0.25">
      <c r="B6" s="2" t="s">
        <v>274</v>
      </c>
      <c r="C6" t="s">
        <v>276</v>
      </c>
    </row>
    <row r="7" spans="2:5" x14ac:dyDescent="0.25">
      <c r="B7" s="2" t="s">
        <v>277</v>
      </c>
      <c r="C7" t="s">
        <v>278</v>
      </c>
    </row>
    <row r="9" spans="2:5" x14ac:dyDescent="0.25">
      <c r="B9" s="2" t="s">
        <v>279</v>
      </c>
      <c r="C9" t="s">
        <v>280</v>
      </c>
    </row>
    <row r="12" spans="2:5" x14ac:dyDescent="0.25">
      <c r="B12" s="2" t="s">
        <v>281</v>
      </c>
      <c r="C12" t="s">
        <v>282</v>
      </c>
    </row>
    <row r="14" spans="2:5" x14ac:dyDescent="0.25">
      <c r="B14" s="2" t="s">
        <v>283</v>
      </c>
    </row>
    <row r="18" spans="2:5" x14ac:dyDescent="0.25">
      <c r="B18" s="2" t="s">
        <v>284</v>
      </c>
      <c r="D18" t="s">
        <v>4</v>
      </c>
      <c r="E18" t="s">
        <v>308</v>
      </c>
    </row>
    <row r="19" spans="2:5" x14ac:dyDescent="0.25">
      <c r="B19" s="2" t="s">
        <v>287</v>
      </c>
      <c r="D19" t="s">
        <v>5</v>
      </c>
      <c r="E19" t="s">
        <v>309</v>
      </c>
    </row>
    <row r="21" spans="2:5" x14ac:dyDescent="0.25">
      <c r="B21" s="2" t="s">
        <v>286</v>
      </c>
      <c r="D21" t="s">
        <v>7</v>
      </c>
    </row>
    <row r="23" spans="2:5" x14ac:dyDescent="0.25">
      <c r="B23" s="2" t="s">
        <v>288</v>
      </c>
      <c r="D23" t="s">
        <v>9</v>
      </c>
    </row>
    <row r="25" spans="2:5" x14ac:dyDescent="0.25">
      <c r="B25" s="2" t="s">
        <v>289</v>
      </c>
      <c r="D25" t="s">
        <v>8</v>
      </c>
      <c r="E25" t="s">
        <v>310</v>
      </c>
    </row>
    <row r="27" spans="2:5" x14ac:dyDescent="0.25">
      <c r="B27" s="2" t="s">
        <v>290</v>
      </c>
      <c r="D27" t="s">
        <v>3</v>
      </c>
    </row>
    <row r="29" spans="2:5" x14ac:dyDescent="0.25">
      <c r="B29" s="2" t="s">
        <v>291</v>
      </c>
      <c r="D29" t="s">
        <v>13</v>
      </c>
    </row>
    <row r="30" spans="2:5" x14ac:dyDescent="0.25">
      <c r="B30" s="2" t="s">
        <v>292</v>
      </c>
      <c r="D30" t="s">
        <v>293</v>
      </c>
    </row>
    <row r="32" spans="2:5" x14ac:dyDescent="0.25">
      <c r="B32" s="2" t="s">
        <v>313</v>
      </c>
      <c r="E32" t="s">
        <v>314</v>
      </c>
    </row>
    <row r="33" spans="2:3" x14ac:dyDescent="0.25">
      <c r="B33" s="2" t="s">
        <v>315</v>
      </c>
      <c r="C33" s="2" t="s">
        <v>279</v>
      </c>
    </row>
    <row r="35" spans="2:3" x14ac:dyDescent="0.25">
      <c r="B35" s="2" t="s">
        <v>306</v>
      </c>
      <c r="C35" t="s">
        <v>307</v>
      </c>
    </row>
    <row r="48" spans="2:3" x14ac:dyDescent="0.25">
      <c r="B48" s="2" t="s">
        <v>294</v>
      </c>
    </row>
    <row r="49" spans="2:2" x14ac:dyDescent="0.25">
      <c r="B49" s="2" t="s">
        <v>295</v>
      </c>
    </row>
    <row r="50" spans="2:2" x14ac:dyDescent="0.25">
      <c r="B50" s="2" t="s">
        <v>296</v>
      </c>
    </row>
    <row r="51" spans="2:2" x14ac:dyDescent="0.25">
      <c r="B51" s="2" t="s">
        <v>297</v>
      </c>
    </row>
    <row r="52" spans="2:2" x14ac:dyDescent="0.25">
      <c r="B52" s="2" t="s">
        <v>298</v>
      </c>
    </row>
    <row r="53" spans="2:2" x14ac:dyDescent="0.25">
      <c r="B53" s="2" t="s">
        <v>299</v>
      </c>
    </row>
    <row r="54" spans="2:2" x14ac:dyDescent="0.25">
      <c r="B54" s="2" t="s">
        <v>300</v>
      </c>
    </row>
    <row r="55" spans="2:2" x14ac:dyDescent="0.25">
      <c r="B55" s="2" t="s">
        <v>301</v>
      </c>
    </row>
    <row r="56" spans="2:2" x14ac:dyDescent="0.25">
      <c r="B56" s="2" t="s">
        <v>302</v>
      </c>
    </row>
    <row r="57" spans="2:2" x14ac:dyDescent="0.25">
      <c r="B57" s="2" t="s">
        <v>303</v>
      </c>
    </row>
    <row r="58" spans="2:2" x14ac:dyDescent="0.25">
      <c r="B58" s="2" t="s">
        <v>304</v>
      </c>
    </row>
    <row r="59" spans="2:2" x14ac:dyDescent="0.25">
      <c r="B59" s="2" t="s">
        <v>305</v>
      </c>
    </row>
    <row r="66" spans="1:27" s="6" customFormat="1" ht="75" x14ac:dyDescent="0.25">
      <c r="A66" s="5" t="s">
        <v>0</v>
      </c>
      <c r="B66" s="5" t="s">
        <v>1</v>
      </c>
      <c r="C66" s="5" t="s">
        <v>2</v>
      </c>
      <c r="D66" s="5" t="s">
        <v>3</v>
      </c>
      <c r="E66" s="5" t="s">
        <v>317</v>
      </c>
      <c r="F66" s="10" t="s">
        <v>4</v>
      </c>
      <c r="G66" s="10" t="s">
        <v>5</v>
      </c>
      <c r="H66" s="5" t="s">
        <v>443</v>
      </c>
      <c r="I66" s="5" t="s">
        <v>444</v>
      </c>
      <c r="J66" s="10" t="s">
        <v>6</v>
      </c>
      <c r="K66" s="10" t="s">
        <v>7</v>
      </c>
      <c r="L66" s="16" t="s">
        <v>441</v>
      </c>
      <c r="M66" s="16" t="s">
        <v>442</v>
      </c>
      <c r="N66" s="10" t="s">
        <v>459</v>
      </c>
      <c r="O66" s="5" t="s">
        <v>8</v>
      </c>
      <c r="P66" s="5" t="s">
        <v>9</v>
      </c>
      <c r="Q66" s="5" t="s">
        <v>10</v>
      </c>
      <c r="R66" s="5" t="s">
        <v>267</v>
      </c>
      <c r="S66" s="5" t="s">
        <v>12</v>
      </c>
      <c r="T66" s="7" t="s">
        <v>13</v>
      </c>
      <c r="U66" s="5" t="s">
        <v>14</v>
      </c>
      <c r="V66" s="5" t="s">
        <v>265</v>
      </c>
      <c r="W66" s="5" t="s">
        <v>266</v>
      </c>
      <c r="X66" s="7" t="s">
        <v>318</v>
      </c>
      <c r="Y66" s="5" t="s">
        <v>331</v>
      </c>
      <c r="Z66" s="5" t="s">
        <v>458</v>
      </c>
      <c r="AA66" s="5" t="s">
        <v>11</v>
      </c>
    </row>
    <row r="67" spans="1:27" x14ac:dyDescent="0.25">
      <c r="A67" t="s">
        <v>30</v>
      </c>
      <c r="B67" t="s">
        <v>468</v>
      </c>
      <c r="C67" s="1" t="s">
        <v>469</v>
      </c>
      <c r="D67" s="13">
        <v>75</v>
      </c>
      <c r="E67">
        <v>750</v>
      </c>
      <c r="F67" s="11">
        <v>510</v>
      </c>
      <c r="G67" s="11">
        <v>510</v>
      </c>
      <c r="H67">
        <v>20.079999999999998</v>
      </c>
      <c r="I67">
        <v>20.079999999999998</v>
      </c>
      <c r="J67" s="11">
        <v>370</v>
      </c>
      <c r="K67" s="11">
        <v>370</v>
      </c>
      <c r="L67" s="17">
        <v>14.57</v>
      </c>
      <c r="M67" s="17">
        <v>14.57</v>
      </c>
      <c r="O67" s="11">
        <v>600</v>
      </c>
      <c r="P67">
        <v>200</v>
      </c>
      <c r="Q67">
        <f t="shared" ref="Q67:Q75" si="0">O67*0.6</f>
        <v>360</v>
      </c>
      <c r="R67">
        <v>400</v>
      </c>
      <c r="T67">
        <v>8.5</v>
      </c>
      <c r="U67">
        <v>15</v>
      </c>
      <c r="W67">
        <v>360</v>
      </c>
      <c r="X67">
        <v>125</v>
      </c>
    </row>
    <row r="68" spans="1:27" x14ac:dyDescent="0.25">
      <c r="A68" t="s">
        <v>30</v>
      </c>
      <c r="B68" t="s">
        <v>468</v>
      </c>
      <c r="C68" s="1" t="s">
        <v>462</v>
      </c>
      <c r="D68" s="13">
        <v>75</v>
      </c>
      <c r="E68">
        <v>750</v>
      </c>
      <c r="F68" s="11">
        <v>510</v>
      </c>
      <c r="G68" s="11">
        <v>510</v>
      </c>
      <c r="H68">
        <v>20.079999999999998</v>
      </c>
      <c r="I68">
        <v>20.079999999999998</v>
      </c>
      <c r="J68" s="11">
        <v>370</v>
      </c>
      <c r="K68" s="11">
        <v>370</v>
      </c>
      <c r="L68" s="17">
        <v>14.57</v>
      </c>
      <c r="M68" s="17">
        <v>14.57</v>
      </c>
      <c r="O68" s="11">
        <v>600</v>
      </c>
      <c r="P68">
        <v>200</v>
      </c>
      <c r="Q68">
        <f t="shared" si="0"/>
        <v>360</v>
      </c>
      <c r="R68">
        <v>400</v>
      </c>
      <c r="T68">
        <v>14</v>
      </c>
      <c r="U68">
        <v>18</v>
      </c>
      <c r="W68">
        <v>360</v>
      </c>
      <c r="X68">
        <v>125</v>
      </c>
    </row>
    <row r="69" spans="1:27" x14ac:dyDescent="0.25">
      <c r="A69" t="s">
        <v>30</v>
      </c>
      <c r="B69" t="s">
        <v>468</v>
      </c>
      <c r="C69" s="1" t="s">
        <v>463</v>
      </c>
      <c r="D69" s="13">
        <v>75</v>
      </c>
      <c r="E69">
        <v>750</v>
      </c>
      <c r="F69" s="11">
        <v>510</v>
      </c>
      <c r="G69" s="11">
        <v>510</v>
      </c>
      <c r="H69">
        <v>20.079999999999998</v>
      </c>
      <c r="I69">
        <v>20.079999999999998</v>
      </c>
      <c r="J69" s="11">
        <v>370</v>
      </c>
      <c r="K69" s="11">
        <v>370</v>
      </c>
      <c r="L69" s="17">
        <v>14.57</v>
      </c>
      <c r="M69" s="17">
        <v>14.57</v>
      </c>
      <c r="O69" s="11">
        <v>600</v>
      </c>
      <c r="P69">
        <v>200</v>
      </c>
      <c r="Q69">
        <f t="shared" si="0"/>
        <v>360</v>
      </c>
      <c r="R69">
        <v>400</v>
      </c>
      <c r="T69">
        <v>20</v>
      </c>
      <c r="U69">
        <v>18</v>
      </c>
      <c r="W69">
        <v>360</v>
      </c>
      <c r="X69">
        <v>125</v>
      </c>
    </row>
    <row r="70" spans="1:27" x14ac:dyDescent="0.25">
      <c r="A70" t="s">
        <v>30</v>
      </c>
      <c r="B70" t="s">
        <v>468</v>
      </c>
      <c r="C70" s="1" t="s">
        <v>464</v>
      </c>
      <c r="D70" s="13">
        <v>75</v>
      </c>
      <c r="E70">
        <v>750</v>
      </c>
      <c r="F70" s="11">
        <v>510</v>
      </c>
      <c r="G70" s="11">
        <v>510</v>
      </c>
      <c r="H70">
        <v>20.079999999999998</v>
      </c>
      <c r="I70">
        <v>20.079999999999998</v>
      </c>
      <c r="J70" s="11">
        <v>370</v>
      </c>
      <c r="K70" s="11">
        <v>370</v>
      </c>
      <c r="L70" s="17">
        <v>14.57</v>
      </c>
      <c r="M70" s="17">
        <v>14.57</v>
      </c>
      <c r="O70" s="11">
        <v>600</v>
      </c>
      <c r="P70">
        <v>200</v>
      </c>
      <c r="Q70">
        <f t="shared" si="0"/>
        <v>360</v>
      </c>
      <c r="R70">
        <v>400</v>
      </c>
      <c r="T70">
        <v>31</v>
      </c>
      <c r="U70">
        <v>22</v>
      </c>
      <c r="W70">
        <v>360</v>
      </c>
      <c r="X70">
        <v>125</v>
      </c>
    </row>
    <row r="71" spans="1:27" x14ac:dyDescent="0.25">
      <c r="A71" t="s">
        <v>30</v>
      </c>
      <c r="B71" t="s">
        <v>468</v>
      </c>
      <c r="C71" s="1" t="s">
        <v>465</v>
      </c>
      <c r="D71" s="13">
        <v>75</v>
      </c>
      <c r="E71">
        <v>750</v>
      </c>
      <c r="F71" s="11">
        <v>510</v>
      </c>
      <c r="G71" s="11">
        <v>510</v>
      </c>
      <c r="H71">
        <v>20.079999999999998</v>
      </c>
      <c r="I71">
        <v>20.079999999999998</v>
      </c>
      <c r="J71" s="11">
        <v>370</v>
      </c>
      <c r="K71" s="11">
        <v>370</v>
      </c>
      <c r="L71" s="17">
        <v>14.57</v>
      </c>
      <c r="M71" s="17">
        <v>14.57</v>
      </c>
      <c r="O71" s="11">
        <v>600</v>
      </c>
      <c r="P71">
        <v>200</v>
      </c>
      <c r="Q71">
        <f t="shared" si="0"/>
        <v>360</v>
      </c>
      <c r="R71">
        <v>400</v>
      </c>
      <c r="T71">
        <v>40</v>
      </c>
      <c r="U71">
        <v>25</v>
      </c>
      <c r="W71">
        <v>360</v>
      </c>
      <c r="X71">
        <v>125</v>
      </c>
    </row>
    <row r="72" spans="1:27" x14ac:dyDescent="0.25">
      <c r="A72" t="s">
        <v>30</v>
      </c>
      <c r="B72" t="s">
        <v>468</v>
      </c>
      <c r="C72" s="1" t="s">
        <v>466</v>
      </c>
      <c r="D72" s="13">
        <v>75</v>
      </c>
      <c r="E72">
        <v>750</v>
      </c>
      <c r="F72" s="11">
        <v>510</v>
      </c>
      <c r="G72" s="11">
        <v>510</v>
      </c>
      <c r="H72">
        <v>20.079999999999998</v>
      </c>
      <c r="I72">
        <v>20.079999999999998</v>
      </c>
      <c r="J72" s="11">
        <v>370</v>
      </c>
      <c r="K72" s="11">
        <v>370</v>
      </c>
      <c r="L72" s="17">
        <v>14.57</v>
      </c>
      <c r="M72" s="17">
        <v>14.57</v>
      </c>
      <c r="O72" s="11">
        <v>600</v>
      </c>
      <c r="P72">
        <v>200</v>
      </c>
      <c r="Q72">
        <f t="shared" si="0"/>
        <v>360</v>
      </c>
      <c r="R72">
        <v>400</v>
      </c>
      <c r="T72">
        <v>28</v>
      </c>
      <c r="U72">
        <v>20</v>
      </c>
      <c r="W72">
        <v>360</v>
      </c>
      <c r="X72">
        <v>125</v>
      </c>
    </row>
    <row r="73" spans="1:27" x14ac:dyDescent="0.25">
      <c r="A73" t="s">
        <v>30</v>
      </c>
      <c r="B73" t="s">
        <v>468</v>
      </c>
      <c r="C73" s="1" t="s">
        <v>467</v>
      </c>
      <c r="D73" s="13">
        <v>75</v>
      </c>
      <c r="E73">
        <v>750</v>
      </c>
      <c r="F73" s="11">
        <v>510</v>
      </c>
      <c r="G73" s="11">
        <v>510</v>
      </c>
      <c r="H73">
        <v>20.079999999999998</v>
      </c>
      <c r="I73">
        <v>20.079999999999998</v>
      </c>
      <c r="J73" s="11">
        <v>370</v>
      </c>
      <c r="K73" s="11">
        <v>370</v>
      </c>
      <c r="L73" s="17">
        <v>14.57</v>
      </c>
      <c r="M73" s="17">
        <v>14.57</v>
      </c>
      <c r="O73" s="11">
        <v>600</v>
      </c>
      <c r="P73">
        <v>200</v>
      </c>
      <c r="Q73">
        <f t="shared" si="0"/>
        <v>360</v>
      </c>
      <c r="R73">
        <v>400</v>
      </c>
      <c r="T73">
        <v>45</v>
      </c>
      <c r="U73">
        <v>25</v>
      </c>
      <c r="W73">
        <v>360</v>
      </c>
      <c r="X73">
        <v>125</v>
      </c>
    </row>
    <row r="74" spans="1:27" x14ac:dyDescent="0.25">
      <c r="A74" t="s">
        <v>30</v>
      </c>
      <c r="B74" t="s">
        <v>468</v>
      </c>
      <c r="C74" s="1" t="s">
        <v>467</v>
      </c>
      <c r="D74" s="13">
        <v>75</v>
      </c>
      <c r="E74">
        <v>750</v>
      </c>
      <c r="F74" s="11">
        <v>510</v>
      </c>
      <c r="G74" s="11">
        <v>510</v>
      </c>
      <c r="H74">
        <v>20.079999999999998</v>
      </c>
      <c r="I74">
        <v>20.079999999999998</v>
      </c>
      <c r="J74" s="11">
        <v>370</v>
      </c>
      <c r="K74" s="11">
        <v>370</v>
      </c>
      <c r="L74" s="17">
        <v>14.57</v>
      </c>
      <c r="M74" s="17">
        <v>14.57</v>
      </c>
      <c r="O74" s="11">
        <v>600</v>
      </c>
      <c r="P74">
        <v>200</v>
      </c>
      <c r="Q74">
        <f t="shared" si="0"/>
        <v>360</v>
      </c>
      <c r="R74">
        <v>400</v>
      </c>
      <c r="T74">
        <v>65</v>
      </c>
      <c r="U74">
        <v>30</v>
      </c>
      <c r="W74">
        <v>360</v>
      </c>
      <c r="X74">
        <v>125</v>
      </c>
    </row>
    <row r="75" spans="1:27" x14ac:dyDescent="0.25">
      <c r="A75" t="s">
        <v>30</v>
      </c>
      <c r="B75" t="s">
        <v>468</v>
      </c>
      <c r="C75" s="1" t="s">
        <v>470</v>
      </c>
      <c r="D75" s="13">
        <v>75</v>
      </c>
      <c r="E75">
        <v>750</v>
      </c>
      <c r="F75" s="11">
        <v>510</v>
      </c>
      <c r="G75" s="11">
        <v>510</v>
      </c>
      <c r="H75">
        <v>20.079999999999998</v>
      </c>
      <c r="I75">
        <v>20.079999999999998</v>
      </c>
      <c r="J75" s="11">
        <v>370</v>
      </c>
      <c r="K75" s="11">
        <v>370</v>
      </c>
      <c r="L75" s="17">
        <v>14.57</v>
      </c>
      <c r="M75" s="17">
        <v>14.57</v>
      </c>
      <c r="O75" s="11">
        <v>600</v>
      </c>
      <c r="P75">
        <v>200</v>
      </c>
      <c r="Q75">
        <f t="shared" si="0"/>
        <v>360</v>
      </c>
      <c r="R75">
        <v>400</v>
      </c>
      <c r="T75">
        <v>28</v>
      </c>
      <c r="U75">
        <v>20</v>
      </c>
      <c r="W75">
        <v>360</v>
      </c>
      <c r="X75">
        <v>125</v>
      </c>
    </row>
    <row r="76" spans="1:27" x14ac:dyDescent="0.25">
      <c r="A76" t="s">
        <v>30</v>
      </c>
      <c r="B76" t="s">
        <v>49</v>
      </c>
      <c r="C76" t="s">
        <v>50</v>
      </c>
      <c r="D76">
        <v>100</v>
      </c>
      <c r="E76">
        <f t="shared" ref="E76:E94" si="1">D76*10</f>
        <v>1000</v>
      </c>
      <c r="F76" s="11">
        <v>500</v>
      </c>
      <c r="G76" s="11">
        <v>500</v>
      </c>
      <c r="J76" s="11">
        <v>320</v>
      </c>
      <c r="K76" s="11">
        <v>320</v>
      </c>
      <c r="L76" s="17"/>
      <c r="M76" s="17"/>
      <c r="O76">
        <v>550</v>
      </c>
      <c r="P76">
        <v>150</v>
      </c>
      <c r="Q76">
        <v>350</v>
      </c>
      <c r="R76">
        <v>320</v>
      </c>
      <c r="T76">
        <v>150</v>
      </c>
      <c r="U76">
        <v>20</v>
      </c>
      <c r="AA76" t="s">
        <v>51</v>
      </c>
    </row>
    <row r="77" spans="1:27" x14ac:dyDescent="0.25">
      <c r="A77" t="s">
        <v>30</v>
      </c>
      <c r="B77" t="s">
        <v>49</v>
      </c>
      <c r="C77" t="s">
        <v>52</v>
      </c>
      <c r="D77">
        <v>150</v>
      </c>
      <c r="E77">
        <f t="shared" si="1"/>
        <v>1500</v>
      </c>
      <c r="F77" s="11">
        <v>570</v>
      </c>
      <c r="G77" s="11">
        <v>570</v>
      </c>
      <c r="J77" s="11">
        <v>320</v>
      </c>
      <c r="K77" s="11">
        <v>320</v>
      </c>
      <c r="L77" s="17"/>
      <c r="M77" s="17"/>
      <c r="O77">
        <v>600</v>
      </c>
      <c r="P77">
        <v>200</v>
      </c>
      <c r="Q77">
        <v>450</v>
      </c>
      <c r="R77">
        <v>400</v>
      </c>
      <c r="T77">
        <v>225</v>
      </c>
      <c r="U77">
        <v>24.5</v>
      </c>
      <c r="AA77" t="s">
        <v>53</v>
      </c>
    </row>
    <row r="78" spans="1:27" x14ac:dyDescent="0.25">
      <c r="A78" t="s">
        <v>30</v>
      </c>
      <c r="B78" t="s">
        <v>49</v>
      </c>
      <c r="C78" t="s">
        <v>54</v>
      </c>
      <c r="D78">
        <v>290</v>
      </c>
      <c r="E78">
        <f t="shared" si="1"/>
        <v>2900</v>
      </c>
      <c r="F78" s="11">
        <v>770</v>
      </c>
      <c r="G78" s="11">
        <v>770</v>
      </c>
      <c r="J78" s="11">
        <v>470</v>
      </c>
      <c r="K78" s="11">
        <v>470</v>
      </c>
      <c r="L78" s="17"/>
      <c r="M78" s="17"/>
      <c r="O78">
        <v>800</v>
      </c>
      <c r="P78">
        <v>250</v>
      </c>
      <c r="Q78">
        <v>600</v>
      </c>
      <c r="R78">
        <v>600</v>
      </c>
      <c r="T78">
        <v>435</v>
      </c>
      <c r="U78">
        <v>34.1</v>
      </c>
      <c r="AA78" t="s">
        <v>55</v>
      </c>
    </row>
    <row r="79" spans="1:27" x14ac:dyDescent="0.25">
      <c r="A79" t="s">
        <v>30</v>
      </c>
      <c r="B79" t="s">
        <v>49</v>
      </c>
      <c r="C79" t="s">
        <v>56</v>
      </c>
      <c r="D79">
        <v>150</v>
      </c>
      <c r="E79">
        <f t="shared" si="1"/>
        <v>1500</v>
      </c>
      <c r="F79" s="11">
        <v>770</v>
      </c>
      <c r="G79" s="11">
        <v>770</v>
      </c>
      <c r="J79" s="11">
        <v>470</v>
      </c>
      <c r="K79" s="11">
        <v>470</v>
      </c>
      <c r="L79" s="17"/>
      <c r="M79" s="17"/>
      <c r="O79">
        <v>900</v>
      </c>
      <c r="P79">
        <v>250</v>
      </c>
      <c r="Q79">
        <v>650</v>
      </c>
      <c r="R79">
        <v>650</v>
      </c>
      <c r="T79">
        <v>225</v>
      </c>
      <c r="U79">
        <v>24.5</v>
      </c>
      <c r="AA79" t="s">
        <v>57</v>
      </c>
    </row>
    <row r="80" spans="1:27" x14ac:dyDescent="0.25">
      <c r="A80" t="s">
        <v>30</v>
      </c>
      <c r="B80" t="s">
        <v>49</v>
      </c>
      <c r="C80" t="s">
        <v>58</v>
      </c>
      <c r="D80">
        <v>350</v>
      </c>
      <c r="E80">
        <f t="shared" si="1"/>
        <v>3500</v>
      </c>
      <c r="F80" s="11">
        <v>850</v>
      </c>
      <c r="G80" s="11">
        <v>850</v>
      </c>
      <c r="J80" s="11">
        <v>550</v>
      </c>
      <c r="K80" s="11">
        <v>550</v>
      </c>
      <c r="L80" s="17"/>
      <c r="M80" s="17"/>
      <c r="O80">
        <v>1000</v>
      </c>
      <c r="P80">
        <v>300</v>
      </c>
      <c r="Q80">
        <v>700</v>
      </c>
      <c r="R80">
        <v>700</v>
      </c>
      <c r="T80">
        <v>525</v>
      </c>
      <c r="U80">
        <v>37.4</v>
      </c>
      <c r="AA80" t="s">
        <v>59</v>
      </c>
    </row>
    <row r="81" spans="1:27" x14ac:dyDescent="0.25">
      <c r="A81" t="s">
        <v>30</v>
      </c>
      <c r="B81" t="s">
        <v>49</v>
      </c>
      <c r="C81" t="s">
        <v>60</v>
      </c>
      <c r="D81">
        <v>400</v>
      </c>
      <c r="E81">
        <f t="shared" si="1"/>
        <v>4000</v>
      </c>
      <c r="F81" s="11">
        <v>900</v>
      </c>
      <c r="G81" s="11">
        <v>900</v>
      </c>
      <c r="J81" s="11">
        <v>600</v>
      </c>
      <c r="K81" s="11">
        <v>600</v>
      </c>
      <c r="L81" s="17"/>
      <c r="M81" s="17"/>
      <c r="O81">
        <v>1100</v>
      </c>
      <c r="P81">
        <v>300</v>
      </c>
      <c r="Q81">
        <v>800</v>
      </c>
      <c r="R81">
        <v>800</v>
      </c>
      <c r="T81">
        <v>600</v>
      </c>
      <c r="U81">
        <v>40</v>
      </c>
      <c r="AA81" t="s">
        <v>61</v>
      </c>
    </row>
    <row r="82" spans="1:27" x14ac:dyDescent="0.25">
      <c r="A82" t="s">
        <v>30</v>
      </c>
      <c r="B82" t="s">
        <v>49</v>
      </c>
      <c r="C82" t="s">
        <v>62</v>
      </c>
      <c r="D82">
        <v>800</v>
      </c>
      <c r="E82">
        <f t="shared" si="1"/>
        <v>8000</v>
      </c>
      <c r="F82" s="11">
        <v>1000</v>
      </c>
      <c r="G82" s="11">
        <v>1000</v>
      </c>
      <c r="J82" s="11">
        <v>700</v>
      </c>
      <c r="K82" s="11">
        <v>700</v>
      </c>
      <c r="L82" s="17"/>
      <c r="M82" s="17"/>
      <c r="O82">
        <v>1300</v>
      </c>
      <c r="P82">
        <v>350</v>
      </c>
      <c r="Q82">
        <v>900</v>
      </c>
      <c r="R82">
        <v>900</v>
      </c>
      <c r="T82">
        <v>1200</v>
      </c>
      <c r="U82">
        <v>56.6</v>
      </c>
      <c r="AA82" t="s">
        <v>63</v>
      </c>
    </row>
    <row r="83" spans="1:27" x14ac:dyDescent="0.25">
      <c r="A83" t="s">
        <v>30</v>
      </c>
      <c r="B83" t="s">
        <v>49</v>
      </c>
      <c r="C83" t="s">
        <v>64</v>
      </c>
      <c r="D83">
        <v>800</v>
      </c>
      <c r="E83">
        <f t="shared" si="1"/>
        <v>8000</v>
      </c>
      <c r="F83" s="11">
        <v>1100</v>
      </c>
      <c r="G83" s="11">
        <v>1100</v>
      </c>
      <c r="J83" s="11">
        <v>800</v>
      </c>
      <c r="K83" s="11">
        <v>800</v>
      </c>
      <c r="L83" s="17"/>
      <c r="M83" s="17"/>
      <c r="O83">
        <v>1400</v>
      </c>
      <c r="P83">
        <v>400</v>
      </c>
      <c r="Q83">
        <v>1000</v>
      </c>
      <c r="R83">
        <v>1000</v>
      </c>
      <c r="T83">
        <v>1200</v>
      </c>
      <c r="U83">
        <v>56.6</v>
      </c>
      <c r="AA83" t="s">
        <v>65</v>
      </c>
    </row>
    <row r="84" spans="1:27" x14ac:dyDescent="0.25">
      <c r="A84" t="s">
        <v>30</v>
      </c>
      <c r="B84" t="s">
        <v>49</v>
      </c>
      <c r="C84" t="s">
        <v>66</v>
      </c>
      <c r="D84">
        <v>1300</v>
      </c>
      <c r="E84">
        <f t="shared" si="1"/>
        <v>13000</v>
      </c>
      <c r="F84" s="11">
        <v>1300</v>
      </c>
      <c r="G84" s="11">
        <v>1300</v>
      </c>
      <c r="J84" s="11">
        <v>900</v>
      </c>
      <c r="K84" s="11">
        <v>900</v>
      </c>
      <c r="L84" s="17"/>
      <c r="M84" s="17"/>
      <c r="O84">
        <v>1800</v>
      </c>
      <c r="P84">
        <v>500</v>
      </c>
      <c r="Q84">
        <v>1200</v>
      </c>
      <c r="R84">
        <v>1200</v>
      </c>
      <c r="T84">
        <v>1950</v>
      </c>
      <c r="U84">
        <v>72.099999999999994</v>
      </c>
      <c r="AA84" t="s">
        <v>67</v>
      </c>
    </row>
    <row r="85" spans="1:27" x14ac:dyDescent="0.25">
      <c r="A85" t="s">
        <v>30</v>
      </c>
      <c r="B85" t="s">
        <v>68</v>
      </c>
      <c r="C85" t="s">
        <v>69</v>
      </c>
      <c r="D85">
        <v>290</v>
      </c>
      <c r="E85">
        <f t="shared" si="1"/>
        <v>2900</v>
      </c>
      <c r="F85" s="11">
        <v>770</v>
      </c>
      <c r="G85" s="11">
        <v>770</v>
      </c>
      <c r="J85" s="11">
        <v>470</v>
      </c>
      <c r="K85" s="11">
        <v>470</v>
      </c>
      <c r="L85" s="17"/>
      <c r="M85" s="17"/>
      <c r="O85">
        <v>800</v>
      </c>
      <c r="P85">
        <v>250</v>
      </c>
      <c r="Q85">
        <v>600</v>
      </c>
      <c r="R85">
        <v>600</v>
      </c>
      <c r="T85">
        <v>435</v>
      </c>
      <c r="U85">
        <v>34.1</v>
      </c>
      <c r="AA85" t="s">
        <v>70</v>
      </c>
    </row>
    <row r="86" spans="1:27" x14ac:dyDescent="0.25">
      <c r="A86" t="s">
        <v>30</v>
      </c>
      <c r="B86" t="s">
        <v>68</v>
      </c>
      <c r="C86" t="s">
        <v>71</v>
      </c>
      <c r="D86">
        <v>350</v>
      </c>
      <c r="E86">
        <f t="shared" si="1"/>
        <v>3500</v>
      </c>
      <c r="F86" s="11">
        <v>850</v>
      </c>
      <c r="G86" s="11">
        <v>850</v>
      </c>
      <c r="J86" s="11">
        <v>550</v>
      </c>
      <c r="K86" s="11">
        <v>550</v>
      </c>
      <c r="L86" s="17"/>
      <c r="M86" s="17"/>
      <c r="O86">
        <v>1000</v>
      </c>
      <c r="P86">
        <v>300</v>
      </c>
      <c r="Q86">
        <v>700</v>
      </c>
      <c r="R86">
        <v>700</v>
      </c>
      <c r="T86">
        <v>525</v>
      </c>
      <c r="U86">
        <v>37.4</v>
      </c>
      <c r="AA86" t="s">
        <v>72</v>
      </c>
    </row>
    <row r="87" spans="1:27" x14ac:dyDescent="0.25">
      <c r="A87" t="s">
        <v>30</v>
      </c>
      <c r="B87" t="s">
        <v>68</v>
      </c>
      <c r="C87" t="s">
        <v>73</v>
      </c>
      <c r="D87">
        <v>400</v>
      </c>
      <c r="E87">
        <f t="shared" si="1"/>
        <v>4000</v>
      </c>
      <c r="F87" s="11">
        <v>900</v>
      </c>
      <c r="G87" s="11">
        <v>900</v>
      </c>
      <c r="J87" s="11">
        <v>600</v>
      </c>
      <c r="K87" s="11">
        <v>600</v>
      </c>
      <c r="L87" s="17"/>
      <c r="M87" s="17"/>
      <c r="O87">
        <v>1100</v>
      </c>
      <c r="P87">
        <v>300</v>
      </c>
      <c r="Q87">
        <v>800</v>
      </c>
      <c r="R87">
        <v>800</v>
      </c>
      <c r="T87">
        <v>600</v>
      </c>
      <c r="U87">
        <v>40</v>
      </c>
      <c r="AA87" t="s">
        <v>74</v>
      </c>
    </row>
    <row r="88" spans="1:27" x14ac:dyDescent="0.25">
      <c r="A88" t="s">
        <v>30</v>
      </c>
      <c r="B88" t="s">
        <v>68</v>
      </c>
      <c r="C88" t="s">
        <v>75</v>
      </c>
      <c r="D88">
        <v>800</v>
      </c>
      <c r="E88">
        <f t="shared" si="1"/>
        <v>8000</v>
      </c>
      <c r="F88" s="11">
        <v>1000</v>
      </c>
      <c r="G88" s="11">
        <v>1000</v>
      </c>
      <c r="J88" s="11">
        <v>700</v>
      </c>
      <c r="K88" s="11">
        <v>700</v>
      </c>
      <c r="L88" s="17"/>
      <c r="M88" s="17"/>
      <c r="O88">
        <v>1300</v>
      </c>
      <c r="P88">
        <v>350</v>
      </c>
      <c r="Q88">
        <v>900</v>
      </c>
      <c r="R88">
        <v>900</v>
      </c>
      <c r="T88">
        <v>1200</v>
      </c>
      <c r="U88">
        <v>56.6</v>
      </c>
      <c r="AA88" t="s">
        <v>76</v>
      </c>
    </row>
    <row r="89" spans="1:27" x14ac:dyDescent="0.25">
      <c r="A89" t="s">
        <v>30</v>
      </c>
      <c r="B89" t="s">
        <v>68</v>
      </c>
      <c r="C89" t="s">
        <v>77</v>
      </c>
      <c r="D89">
        <v>800</v>
      </c>
      <c r="E89">
        <f t="shared" si="1"/>
        <v>8000</v>
      </c>
      <c r="F89" s="11">
        <v>1100</v>
      </c>
      <c r="G89" s="11">
        <v>1100</v>
      </c>
      <c r="J89" s="11">
        <v>800</v>
      </c>
      <c r="K89" s="11">
        <v>800</v>
      </c>
      <c r="L89" s="17"/>
      <c r="M89" s="17"/>
      <c r="O89">
        <v>1400</v>
      </c>
      <c r="P89">
        <v>400</v>
      </c>
      <c r="Q89">
        <v>1000</v>
      </c>
      <c r="R89">
        <v>1000</v>
      </c>
      <c r="T89">
        <v>1200</v>
      </c>
      <c r="U89">
        <v>56.6</v>
      </c>
      <c r="AA89" t="s">
        <v>78</v>
      </c>
    </row>
    <row r="90" spans="1:27" x14ac:dyDescent="0.25">
      <c r="A90" t="s">
        <v>30</v>
      </c>
      <c r="B90" t="s">
        <v>68</v>
      </c>
      <c r="C90" t="s">
        <v>79</v>
      </c>
      <c r="D90">
        <v>1300</v>
      </c>
      <c r="E90">
        <f t="shared" si="1"/>
        <v>13000</v>
      </c>
      <c r="F90" s="11">
        <v>1300</v>
      </c>
      <c r="G90" s="11">
        <v>1300</v>
      </c>
      <c r="J90" s="11">
        <v>900</v>
      </c>
      <c r="K90" s="11">
        <v>900</v>
      </c>
      <c r="L90" s="17"/>
      <c r="M90" s="17"/>
      <c r="O90">
        <v>1800</v>
      </c>
      <c r="P90">
        <v>500</v>
      </c>
      <c r="Q90">
        <v>1200</v>
      </c>
      <c r="R90">
        <v>1200</v>
      </c>
      <c r="T90">
        <v>1950</v>
      </c>
      <c r="U90">
        <v>72.099999999999994</v>
      </c>
      <c r="AA90" t="s">
        <v>80</v>
      </c>
    </row>
    <row r="91" spans="1:27" x14ac:dyDescent="0.25">
      <c r="A91" t="s">
        <v>30</v>
      </c>
      <c r="B91" t="s">
        <v>68</v>
      </c>
      <c r="C91" t="s">
        <v>81</v>
      </c>
      <c r="D91">
        <v>2100</v>
      </c>
      <c r="E91">
        <f t="shared" si="1"/>
        <v>21000</v>
      </c>
      <c r="F91" s="11">
        <v>1500</v>
      </c>
      <c r="G91" s="11">
        <v>1500</v>
      </c>
      <c r="J91" s="11">
        <v>1100</v>
      </c>
      <c r="K91" s="11">
        <v>1100</v>
      </c>
      <c r="L91" s="17"/>
      <c r="M91" s="17"/>
      <c r="O91">
        <v>2000</v>
      </c>
      <c r="P91">
        <v>600</v>
      </c>
      <c r="Q91">
        <v>1400</v>
      </c>
      <c r="R91">
        <v>1400</v>
      </c>
      <c r="T91">
        <v>3150</v>
      </c>
      <c r="U91">
        <v>91.7</v>
      </c>
      <c r="AA91" t="s">
        <v>82</v>
      </c>
    </row>
    <row r="92" spans="1:27" x14ac:dyDescent="0.25">
      <c r="A92" t="s">
        <v>30</v>
      </c>
      <c r="B92" t="s">
        <v>83</v>
      </c>
      <c r="C92" t="s">
        <v>84</v>
      </c>
      <c r="D92">
        <v>30</v>
      </c>
      <c r="E92">
        <f t="shared" si="1"/>
        <v>300</v>
      </c>
      <c r="F92" s="11">
        <v>350</v>
      </c>
      <c r="G92" s="11">
        <v>350</v>
      </c>
      <c r="J92" s="11">
        <v>350</v>
      </c>
      <c r="K92" s="11">
        <v>350</v>
      </c>
      <c r="L92" s="17"/>
      <c r="M92" s="17"/>
      <c r="O92">
        <v>400</v>
      </c>
      <c r="P92">
        <v>120</v>
      </c>
      <c r="Q92">
        <v>250</v>
      </c>
      <c r="R92">
        <v>200</v>
      </c>
      <c r="T92">
        <v>45</v>
      </c>
      <c r="U92">
        <v>11</v>
      </c>
      <c r="AA92" t="s">
        <v>85</v>
      </c>
    </row>
    <row r="93" spans="1:27" x14ac:dyDescent="0.25">
      <c r="A93" t="s">
        <v>30</v>
      </c>
      <c r="B93" t="s">
        <v>83</v>
      </c>
      <c r="C93" t="s">
        <v>86</v>
      </c>
      <c r="D93">
        <v>60</v>
      </c>
      <c r="E93">
        <f t="shared" si="1"/>
        <v>600</v>
      </c>
      <c r="F93" s="11">
        <v>450</v>
      </c>
      <c r="G93" s="11">
        <v>450</v>
      </c>
      <c r="J93" s="11">
        <v>450</v>
      </c>
      <c r="K93" s="11">
        <v>450</v>
      </c>
      <c r="L93" s="17"/>
      <c r="M93" s="17"/>
      <c r="O93">
        <v>500</v>
      </c>
      <c r="P93">
        <v>150</v>
      </c>
      <c r="Q93">
        <v>300</v>
      </c>
      <c r="R93">
        <v>300</v>
      </c>
      <c r="T93">
        <v>90</v>
      </c>
      <c r="U93">
        <v>15.5</v>
      </c>
      <c r="AA93" t="s">
        <v>87</v>
      </c>
    </row>
    <row r="94" spans="1:27" x14ac:dyDescent="0.25">
      <c r="A94" t="s">
        <v>30</v>
      </c>
      <c r="B94" t="s">
        <v>83</v>
      </c>
      <c r="C94" t="s">
        <v>88</v>
      </c>
      <c r="D94">
        <v>100</v>
      </c>
      <c r="E94">
        <f t="shared" si="1"/>
        <v>1000</v>
      </c>
      <c r="F94" s="11">
        <v>500</v>
      </c>
      <c r="G94" s="11">
        <v>500</v>
      </c>
      <c r="J94" s="11">
        <v>500</v>
      </c>
      <c r="K94" s="11">
        <v>500</v>
      </c>
      <c r="L94" s="17"/>
      <c r="M94" s="17"/>
      <c r="O94">
        <v>500</v>
      </c>
      <c r="P94">
        <v>150</v>
      </c>
      <c r="Q94">
        <v>350</v>
      </c>
      <c r="R94">
        <v>300</v>
      </c>
      <c r="T94">
        <v>150</v>
      </c>
      <c r="U94">
        <v>20</v>
      </c>
      <c r="AA94" t="s">
        <v>89</v>
      </c>
    </row>
    <row r="95" spans="1:27" x14ac:dyDescent="0.25">
      <c r="A95" t="s">
        <v>15</v>
      </c>
      <c r="B95" t="s">
        <v>226</v>
      </c>
      <c r="C95" t="s">
        <v>227</v>
      </c>
      <c r="D95">
        <v>40</v>
      </c>
      <c r="E95">
        <f t="shared" ref="E95:E119" si="2">D95*10</f>
        <v>400</v>
      </c>
      <c r="F95" s="11">
        <v>442</v>
      </c>
      <c r="G95" s="11">
        <v>442</v>
      </c>
      <c r="J95" s="11">
        <v>375</v>
      </c>
      <c r="K95" s="11">
        <v>375</v>
      </c>
      <c r="L95" s="17"/>
      <c r="M95" s="17"/>
      <c r="O95">
        <v>795</v>
      </c>
      <c r="P95">
        <v>176</v>
      </c>
      <c r="Q95">
        <v>530</v>
      </c>
      <c r="R95">
        <v>353</v>
      </c>
      <c r="S95">
        <v>529</v>
      </c>
      <c r="T95">
        <v>60</v>
      </c>
      <c r="U95">
        <v>12.6</v>
      </c>
      <c r="AA95" t="s">
        <v>228</v>
      </c>
    </row>
    <row r="96" spans="1:27" x14ac:dyDescent="0.25">
      <c r="A96" t="s">
        <v>15</v>
      </c>
      <c r="B96" t="s">
        <v>226</v>
      </c>
      <c r="C96" t="s">
        <v>229</v>
      </c>
      <c r="D96">
        <v>50</v>
      </c>
      <c r="E96">
        <f t="shared" si="2"/>
        <v>500</v>
      </c>
      <c r="F96" s="11">
        <v>494</v>
      </c>
      <c r="G96" s="11">
        <v>494</v>
      </c>
      <c r="J96" s="11">
        <v>419</v>
      </c>
      <c r="K96" s="11">
        <v>419</v>
      </c>
      <c r="L96" s="17"/>
      <c r="M96" s="17"/>
      <c r="O96">
        <v>889</v>
      </c>
      <c r="P96">
        <v>197</v>
      </c>
      <c r="Q96">
        <v>592</v>
      </c>
      <c r="R96">
        <v>395</v>
      </c>
      <c r="S96">
        <v>592</v>
      </c>
      <c r="T96">
        <v>75</v>
      </c>
      <c r="U96">
        <v>14.1</v>
      </c>
      <c r="AA96" t="s">
        <v>228</v>
      </c>
    </row>
    <row r="97" spans="1:27" x14ac:dyDescent="0.25">
      <c r="A97" t="s">
        <v>15</v>
      </c>
      <c r="B97" t="s">
        <v>226</v>
      </c>
      <c r="C97" t="s">
        <v>230</v>
      </c>
      <c r="D97">
        <v>80</v>
      </c>
      <c r="E97">
        <f t="shared" si="2"/>
        <v>800</v>
      </c>
      <c r="F97" s="11">
        <v>626</v>
      </c>
      <c r="G97" s="11">
        <v>626</v>
      </c>
      <c r="J97" s="11">
        <v>532</v>
      </c>
      <c r="K97" s="11">
        <v>532</v>
      </c>
      <c r="L97" s="17"/>
      <c r="M97" s="17"/>
      <c r="O97">
        <v>1126</v>
      </c>
      <c r="P97">
        <v>250</v>
      </c>
      <c r="Q97">
        <v>751</v>
      </c>
      <c r="R97">
        <v>500</v>
      </c>
      <c r="S97">
        <v>750</v>
      </c>
      <c r="T97">
        <v>120</v>
      </c>
      <c r="U97">
        <v>17.899999999999999</v>
      </c>
      <c r="AA97" t="s">
        <v>228</v>
      </c>
    </row>
    <row r="98" spans="1:27" x14ac:dyDescent="0.25">
      <c r="A98" t="s">
        <v>15</v>
      </c>
      <c r="B98" t="s">
        <v>226</v>
      </c>
      <c r="C98" t="s">
        <v>231</v>
      </c>
      <c r="D98">
        <v>100</v>
      </c>
      <c r="E98">
        <f t="shared" si="2"/>
        <v>1000</v>
      </c>
      <c r="F98" s="11">
        <v>700</v>
      </c>
      <c r="G98" s="11">
        <v>700</v>
      </c>
      <c r="J98" s="11">
        <v>595</v>
      </c>
      <c r="K98" s="11">
        <v>595</v>
      </c>
      <c r="L98" s="17"/>
      <c r="M98" s="17"/>
      <c r="O98">
        <v>1260</v>
      </c>
      <c r="P98">
        <v>280</v>
      </c>
      <c r="Q98">
        <v>840</v>
      </c>
      <c r="R98">
        <v>560</v>
      </c>
      <c r="S98">
        <v>840</v>
      </c>
      <c r="T98">
        <v>150</v>
      </c>
      <c r="U98">
        <v>20</v>
      </c>
      <c r="AA98" t="s">
        <v>228</v>
      </c>
    </row>
    <row r="99" spans="1:27" x14ac:dyDescent="0.25">
      <c r="A99" t="s">
        <v>15</v>
      </c>
      <c r="B99" t="s">
        <v>226</v>
      </c>
      <c r="C99" t="s">
        <v>232</v>
      </c>
      <c r="D99">
        <v>130</v>
      </c>
      <c r="E99">
        <f t="shared" si="2"/>
        <v>1300</v>
      </c>
      <c r="F99" s="11">
        <v>798</v>
      </c>
      <c r="G99" s="11">
        <v>798</v>
      </c>
      <c r="J99" s="11">
        <v>678</v>
      </c>
      <c r="K99" s="11">
        <v>678</v>
      </c>
      <c r="L99" s="17"/>
      <c r="M99" s="17"/>
      <c r="O99">
        <v>1436</v>
      </c>
      <c r="P99">
        <v>319</v>
      </c>
      <c r="Q99">
        <v>957</v>
      </c>
      <c r="R99">
        <v>638</v>
      </c>
      <c r="S99">
        <v>957</v>
      </c>
      <c r="T99">
        <v>195</v>
      </c>
      <c r="U99">
        <v>22.8</v>
      </c>
      <c r="AA99" t="s">
        <v>228</v>
      </c>
    </row>
    <row r="100" spans="1:27" x14ac:dyDescent="0.25">
      <c r="A100" t="s">
        <v>15</v>
      </c>
      <c r="B100" t="s">
        <v>226</v>
      </c>
      <c r="C100" t="s">
        <v>233</v>
      </c>
      <c r="D100">
        <v>160</v>
      </c>
      <c r="E100">
        <f t="shared" si="2"/>
        <v>1600</v>
      </c>
      <c r="F100" s="11">
        <v>885</v>
      </c>
      <c r="G100" s="11">
        <v>885</v>
      </c>
      <c r="J100" s="11">
        <v>752</v>
      </c>
      <c r="K100" s="11">
        <v>752</v>
      </c>
      <c r="L100" s="17"/>
      <c r="M100" s="17"/>
      <c r="O100">
        <v>1593</v>
      </c>
      <c r="P100">
        <v>354</v>
      </c>
      <c r="Q100">
        <v>1062</v>
      </c>
      <c r="R100">
        <v>708</v>
      </c>
      <c r="S100">
        <v>1062</v>
      </c>
      <c r="T100">
        <v>240</v>
      </c>
      <c r="U100">
        <v>25.3</v>
      </c>
      <c r="AA100" t="s">
        <v>228</v>
      </c>
    </row>
    <row r="101" spans="1:27" x14ac:dyDescent="0.25">
      <c r="A101" t="s">
        <v>15</v>
      </c>
      <c r="B101" t="s">
        <v>226</v>
      </c>
      <c r="C101" t="s">
        <v>234</v>
      </c>
      <c r="D101">
        <v>180</v>
      </c>
      <c r="E101">
        <f t="shared" si="2"/>
        <v>1800</v>
      </c>
      <c r="F101" s="11">
        <v>939</v>
      </c>
      <c r="G101" s="11">
        <v>939</v>
      </c>
      <c r="J101" s="11">
        <v>798</v>
      </c>
      <c r="K101" s="11">
        <v>798</v>
      </c>
      <c r="L101" s="17"/>
      <c r="M101" s="17"/>
      <c r="O101">
        <v>1690</v>
      </c>
      <c r="P101">
        <v>375</v>
      </c>
      <c r="Q101">
        <v>1126</v>
      </c>
      <c r="R101">
        <v>751</v>
      </c>
      <c r="S101">
        <v>1126</v>
      </c>
      <c r="T101">
        <v>270</v>
      </c>
      <c r="U101">
        <v>26.8</v>
      </c>
      <c r="AA101" t="s">
        <v>228</v>
      </c>
    </row>
    <row r="102" spans="1:27" x14ac:dyDescent="0.25">
      <c r="A102" t="s">
        <v>15</v>
      </c>
      <c r="B102" t="s">
        <v>226</v>
      </c>
      <c r="C102" t="s">
        <v>235</v>
      </c>
      <c r="D102">
        <v>200</v>
      </c>
      <c r="E102">
        <f t="shared" si="2"/>
        <v>2000</v>
      </c>
      <c r="F102" s="11">
        <v>989</v>
      </c>
      <c r="G102" s="11">
        <v>989</v>
      </c>
      <c r="J102" s="11">
        <v>840</v>
      </c>
      <c r="K102" s="11">
        <v>840</v>
      </c>
      <c r="L102" s="17"/>
      <c r="M102" s="17"/>
      <c r="O102">
        <v>1780</v>
      </c>
      <c r="P102">
        <v>395</v>
      </c>
      <c r="Q102">
        <v>1186</v>
      </c>
      <c r="R102">
        <v>791</v>
      </c>
      <c r="S102">
        <v>1186</v>
      </c>
      <c r="T102">
        <v>300</v>
      </c>
      <c r="U102">
        <v>28.3</v>
      </c>
      <c r="AA102" t="s">
        <v>228</v>
      </c>
    </row>
    <row r="103" spans="1:27" x14ac:dyDescent="0.25">
      <c r="A103" t="s">
        <v>15</v>
      </c>
      <c r="B103" t="s">
        <v>226</v>
      </c>
      <c r="C103" t="s">
        <v>236</v>
      </c>
      <c r="D103">
        <v>220</v>
      </c>
      <c r="E103">
        <f t="shared" si="2"/>
        <v>2200</v>
      </c>
      <c r="F103" s="11">
        <v>1038</v>
      </c>
      <c r="G103" s="11">
        <v>1038</v>
      </c>
      <c r="J103" s="11">
        <v>882</v>
      </c>
      <c r="K103" s="11">
        <v>882</v>
      </c>
      <c r="L103" s="17"/>
      <c r="M103" s="17"/>
      <c r="O103">
        <v>1868</v>
      </c>
      <c r="P103">
        <v>415</v>
      </c>
      <c r="Q103">
        <v>1245</v>
      </c>
      <c r="R103">
        <v>830</v>
      </c>
      <c r="S103">
        <v>1245</v>
      </c>
      <c r="T103">
        <v>330</v>
      </c>
      <c r="U103">
        <v>29.7</v>
      </c>
      <c r="AA103" t="s">
        <v>228</v>
      </c>
    </row>
    <row r="104" spans="1:27" x14ac:dyDescent="0.25">
      <c r="A104" t="s">
        <v>15</v>
      </c>
      <c r="B104" t="s">
        <v>226</v>
      </c>
      <c r="C104" t="s">
        <v>237</v>
      </c>
      <c r="D104">
        <v>280</v>
      </c>
      <c r="E104">
        <f t="shared" si="2"/>
        <v>2800</v>
      </c>
      <c r="F104" s="11">
        <v>1171</v>
      </c>
      <c r="G104" s="11">
        <v>1171</v>
      </c>
      <c r="J104" s="11">
        <v>995</v>
      </c>
      <c r="K104" s="11">
        <v>995</v>
      </c>
      <c r="L104" s="17"/>
      <c r="M104" s="17"/>
      <c r="O104">
        <v>2107</v>
      </c>
      <c r="P104">
        <v>468</v>
      </c>
      <c r="Q104">
        <v>1405</v>
      </c>
      <c r="R104">
        <v>936</v>
      </c>
      <c r="S104">
        <v>1404</v>
      </c>
      <c r="T104">
        <v>420</v>
      </c>
      <c r="U104">
        <v>33.5</v>
      </c>
      <c r="AA104" t="s">
        <v>228</v>
      </c>
    </row>
    <row r="105" spans="1:27" x14ac:dyDescent="0.25">
      <c r="A105" t="s">
        <v>15</v>
      </c>
      <c r="B105" t="s">
        <v>226</v>
      </c>
      <c r="C105" t="s">
        <v>238</v>
      </c>
      <c r="D105">
        <v>380</v>
      </c>
      <c r="E105">
        <f t="shared" si="2"/>
        <v>3800</v>
      </c>
      <c r="F105" s="11">
        <v>1364</v>
      </c>
      <c r="G105" s="11">
        <v>1364</v>
      </c>
      <c r="J105" s="11">
        <v>1159</v>
      </c>
      <c r="K105" s="11">
        <v>1159</v>
      </c>
      <c r="L105" s="17"/>
      <c r="M105" s="17"/>
      <c r="O105">
        <v>2455</v>
      </c>
      <c r="P105">
        <v>545</v>
      </c>
      <c r="Q105">
        <v>1636</v>
      </c>
      <c r="R105">
        <v>1091</v>
      </c>
      <c r="S105">
        <v>1636</v>
      </c>
      <c r="T105">
        <v>570</v>
      </c>
      <c r="U105">
        <v>39</v>
      </c>
      <c r="AA105" t="s">
        <v>228</v>
      </c>
    </row>
    <row r="106" spans="1:27" x14ac:dyDescent="0.25">
      <c r="A106" t="s">
        <v>15</v>
      </c>
      <c r="B106" t="s">
        <v>226</v>
      </c>
      <c r="C106" t="s">
        <v>239</v>
      </c>
      <c r="D106">
        <v>450</v>
      </c>
      <c r="E106">
        <f t="shared" si="2"/>
        <v>4500</v>
      </c>
      <c r="F106" s="11">
        <v>1484</v>
      </c>
      <c r="G106" s="11">
        <v>1484</v>
      </c>
      <c r="J106" s="11">
        <v>1261</v>
      </c>
      <c r="K106" s="11">
        <v>1261</v>
      </c>
      <c r="L106" s="17"/>
      <c r="M106" s="17"/>
      <c r="O106">
        <v>2671</v>
      </c>
      <c r="P106">
        <v>593</v>
      </c>
      <c r="Q106">
        <v>1780</v>
      </c>
      <c r="R106">
        <v>1187</v>
      </c>
      <c r="S106">
        <v>1780</v>
      </c>
      <c r="T106">
        <v>675</v>
      </c>
      <c r="U106">
        <v>42.4</v>
      </c>
      <c r="AA106" t="s">
        <v>228</v>
      </c>
    </row>
    <row r="107" spans="1:27" x14ac:dyDescent="0.25">
      <c r="A107" t="s">
        <v>15</v>
      </c>
      <c r="B107" t="s">
        <v>226</v>
      </c>
      <c r="C107" t="s">
        <v>240</v>
      </c>
      <c r="D107">
        <v>550</v>
      </c>
      <c r="E107">
        <f t="shared" si="2"/>
        <v>5500</v>
      </c>
      <c r="F107" s="11">
        <v>1641</v>
      </c>
      <c r="G107" s="11">
        <v>1641</v>
      </c>
      <c r="J107" s="11">
        <v>1394</v>
      </c>
      <c r="K107" s="11">
        <v>1394</v>
      </c>
      <c r="L107" s="17"/>
      <c r="M107" s="17"/>
      <c r="O107">
        <v>2953</v>
      </c>
      <c r="P107">
        <v>656</v>
      </c>
      <c r="Q107">
        <v>1969</v>
      </c>
      <c r="R107">
        <v>1312</v>
      </c>
      <c r="S107">
        <v>1968</v>
      </c>
      <c r="T107">
        <v>825</v>
      </c>
      <c r="U107">
        <v>46.9</v>
      </c>
      <c r="AA107" t="s">
        <v>228</v>
      </c>
    </row>
    <row r="108" spans="1:27" x14ac:dyDescent="0.25">
      <c r="A108" t="s">
        <v>15</v>
      </c>
      <c r="B108" t="s">
        <v>226</v>
      </c>
      <c r="C108" t="s">
        <v>241</v>
      </c>
      <c r="D108">
        <v>700</v>
      </c>
      <c r="E108">
        <f t="shared" si="2"/>
        <v>7000</v>
      </c>
      <c r="F108" s="11">
        <v>1852</v>
      </c>
      <c r="G108" s="11">
        <v>1852</v>
      </c>
      <c r="J108" s="11">
        <v>1574</v>
      </c>
      <c r="K108" s="11">
        <v>1574</v>
      </c>
      <c r="L108" s="17"/>
      <c r="M108" s="17"/>
      <c r="O108">
        <v>3333</v>
      </c>
      <c r="P108">
        <v>740</v>
      </c>
      <c r="Q108">
        <v>2222</v>
      </c>
      <c r="R108">
        <v>1481</v>
      </c>
      <c r="S108">
        <v>2221</v>
      </c>
      <c r="T108">
        <v>1050</v>
      </c>
      <c r="U108">
        <v>52.9</v>
      </c>
      <c r="AA108" t="s">
        <v>228</v>
      </c>
    </row>
    <row r="109" spans="1:27" x14ac:dyDescent="0.25">
      <c r="A109" t="s">
        <v>15</v>
      </c>
      <c r="B109" t="s">
        <v>226</v>
      </c>
      <c r="C109" t="s">
        <v>242</v>
      </c>
      <c r="D109">
        <v>900</v>
      </c>
      <c r="E109">
        <f t="shared" si="2"/>
        <v>9000</v>
      </c>
      <c r="F109" s="11">
        <v>2100</v>
      </c>
      <c r="G109" s="11">
        <v>2100</v>
      </c>
      <c r="J109" s="11">
        <v>1785</v>
      </c>
      <c r="K109" s="11">
        <v>1785</v>
      </c>
      <c r="L109" s="17"/>
      <c r="M109" s="17"/>
      <c r="O109">
        <v>3780</v>
      </c>
      <c r="P109">
        <v>840</v>
      </c>
      <c r="Q109">
        <v>2520</v>
      </c>
      <c r="R109">
        <v>1680</v>
      </c>
      <c r="S109">
        <v>2520</v>
      </c>
      <c r="T109">
        <v>1350</v>
      </c>
      <c r="U109">
        <v>60</v>
      </c>
      <c r="AA109" t="s">
        <v>228</v>
      </c>
    </row>
    <row r="110" spans="1:27" x14ac:dyDescent="0.25">
      <c r="A110" t="s">
        <v>15</v>
      </c>
      <c r="B110" t="s">
        <v>226</v>
      </c>
      <c r="C110" t="s">
        <v>243</v>
      </c>
      <c r="D110">
        <v>1100</v>
      </c>
      <c r="E110">
        <f t="shared" si="2"/>
        <v>11000</v>
      </c>
      <c r="F110" s="11">
        <v>2321</v>
      </c>
      <c r="G110" s="11">
        <v>2321</v>
      </c>
      <c r="J110" s="11">
        <v>1972</v>
      </c>
      <c r="K110" s="11">
        <v>1972</v>
      </c>
      <c r="L110" s="17"/>
      <c r="M110" s="17"/>
      <c r="O110">
        <v>4177</v>
      </c>
      <c r="P110">
        <v>928</v>
      </c>
      <c r="Q110">
        <v>2785</v>
      </c>
      <c r="R110">
        <v>1856</v>
      </c>
      <c r="S110">
        <v>2784</v>
      </c>
      <c r="T110">
        <v>1650</v>
      </c>
      <c r="U110">
        <v>66.3</v>
      </c>
      <c r="AA110" t="s">
        <v>228</v>
      </c>
    </row>
    <row r="111" spans="1:27" x14ac:dyDescent="0.25">
      <c r="A111" t="s">
        <v>15</v>
      </c>
      <c r="B111" t="s">
        <v>226</v>
      </c>
      <c r="C111" t="s">
        <v>244</v>
      </c>
      <c r="D111">
        <v>1500</v>
      </c>
      <c r="E111">
        <f t="shared" si="2"/>
        <v>15000</v>
      </c>
      <c r="F111" s="11">
        <v>2711</v>
      </c>
      <c r="G111" s="11">
        <v>2711</v>
      </c>
      <c r="J111" s="11">
        <v>2304</v>
      </c>
      <c r="K111" s="11">
        <v>2304</v>
      </c>
      <c r="L111" s="17"/>
      <c r="M111" s="17"/>
      <c r="O111">
        <v>4879</v>
      </c>
      <c r="P111">
        <v>1084</v>
      </c>
      <c r="Q111">
        <v>3253</v>
      </c>
      <c r="R111">
        <v>2168</v>
      </c>
      <c r="S111">
        <v>3252</v>
      </c>
      <c r="T111">
        <v>2250</v>
      </c>
      <c r="U111">
        <v>77.5</v>
      </c>
      <c r="AA111" t="s">
        <v>228</v>
      </c>
    </row>
    <row r="112" spans="1:27" x14ac:dyDescent="0.25">
      <c r="A112" t="s">
        <v>15</v>
      </c>
      <c r="B112" t="s">
        <v>226</v>
      </c>
      <c r="C112" t="s">
        <v>245</v>
      </c>
      <c r="D112">
        <v>2000</v>
      </c>
      <c r="E112">
        <f t="shared" si="2"/>
        <v>20000</v>
      </c>
      <c r="F112" s="11">
        <v>3130</v>
      </c>
      <c r="G112" s="11">
        <v>3130</v>
      </c>
      <c r="J112" s="11">
        <v>2660</v>
      </c>
      <c r="K112" s="11">
        <v>2660</v>
      </c>
      <c r="L112" s="17"/>
      <c r="M112" s="17"/>
      <c r="O112">
        <v>5634</v>
      </c>
      <c r="P112">
        <v>1252</v>
      </c>
      <c r="Q112">
        <v>3756</v>
      </c>
      <c r="R112">
        <v>2504</v>
      </c>
      <c r="S112">
        <v>3756</v>
      </c>
      <c r="T112">
        <v>3000</v>
      </c>
      <c r="U112">
        <v>89.4</v>
      </c>
      <c r="AA112" t="s">
        <v>228</v>
      </c>
    </row>
    <row r="113" spans="1:27" x14ac:dyDescent="0.25">
      <c r="A113" t="s">
        <v>15</v>
      </c>
      <c r="B113" t="s">
        <v>226</v>
      </c>
      <c r="C113" t="s">
        <v>246</v>
      </c>
      <c r="D113">
        <v>3000</v>
      </c>
      <c r="E113">
        <f t="shared" si="2"/>
        <v>30000</v>
      </c>
      <c r="F113" s="11">
        <v>3834</v>
      </c>
      <c r="G113" s="11">
        <v>3834</v>
      </c>
      <c r="J113" s="11">
        <v>3258</v>
      </c>
      <c r="K113" s="11">
        <v>3258</v>
      </c>
      <c r="L113" s="17"/>
      <c r="M113" s="17"/>
      <c r="O113">
        <v>6901</v>
      </c>
      <c r="P113">
        <v>1533</v>
      </c>
      <c r="Q113">
        <v>4600</v>
      </c>
      <c r="R113">
        <v>3067</v>
      </c>
      <c r="S113">
        <v>4600</v>
      </c>
      <c r="T113">
        <v>4500</v>
      </c>
      <c r="U113">
        <v>109.5</v>
      </c>
      <c r="AA113" t="s">
        <v>228</v>
      </c>
    </row>
    <row r="114" spans="1:27" x14ac:dyDescent="0.25">
      <c r="A114" t="s">
        <v>15</v>
      </c>
      <c r="B114" t="s">
        <v>248</v>
      </c>
      <c r="C114" t="s">
        <v>249</v>
      </c>
      <c r="D114">
        <v>100</v>
      </c>
      <c r="E114">
        <f t="shared" si="2"/>
        <v>1000</v>
      </c>
      <c r="F114" s="11">
        <v>650</v>
      </c>
      <c r="G114" s="11">
        <v>600</v>
      </c>
      <c r="J114" s="11">
        <v>460</v>
      </c>
      <c r="K114" s="11">
        <v>410</v>
      </c>
      <c r="L114" s="17"/>
      <c r="M114" s="17"/>
      <c r="O114">
        <v>800</v>
      </c>
      <c r="P114">
        <v>150</v>
      </c>
      <c r="Q114">
        <v>450</v>
      </c>
      <c r="R114">
        <v>350</v>
      </c>
      <c r="S114">
        <v>150</v>
      </c>
      <c r="T114">
        <v>202</v>
      </c>
      <c r="U114">
        <v>40</v>
      </c>
      <c r="AA114" t="s">
        <v>250</v>
      </c>
    </row>
    <row r="115" spans="1:27" x14ac:dyDescent="0.25">
      <c r="A115" t="s">
        <v>15</v>
      </c>
      <c r="B115" t="s">
        <v>248</v>
      </c>
      <c r="C115" t="s">
        <v>251</v>
      </c>
      <c r="D115">
        <v>130</v>
      </c>
      <c r="E115">
        <f t="shared" si="2"/>
        <v>1300</v>
      </c>
      <c r="F115" s="11"/>
      <c r="G115" s="11"/>
      <c r="J115" s="11">
        <v>530</v>
      </c>
      <c r="K115" s="11">
        <v>530</v>
      </c>
      <c r="L115" s="17"/>
      <c r="M115" s="17"/>
      <c r="P115">
        <v>150</v>
      </c>
      <c r="R115">
        <v>400</v>
      </c>
      <c r="S115">
        <v>150</v>
      </c>
      <c r="T115">
        <v>250</v>
      </c>
      <c r="U115" t="s">
        <v>252</v>
      </c>
      <c r="AA115" t="s">
        <v>253</v>
      </c>
    </row>
    <row r="116" spans="1:27" x14ac:dyDescent="0.25">
      <c r="A116" t="s">
        <v>15</v>
      </c>
      <c r="B116" t="s">
        <v>248</v>
      </c>
      <c r="C116" t="s">
        <v>254</v>
      </c>
      <c r="D116">
        <v>180</v>
      </c>
      <c r="E116">
        <f t="shared" si="2"/>
        <v>1800</v>
      </c>
      <c r="F116" s="11"/>
      <c r="G116" s="11"/>
      <c r="J116" s="11">
        <v>570</v>
      </c>
      <c r="K116" s="11">
        <v>570</v>
      </c>
      <c r="L116" s="17"/>
      <c r="M116" s="17"/>
      <c r="P116">
        <v>150</v>
      </c>
      <c r="R116">
        <v>450</v>
      </c>
      <c r="S116">
        <v>150</v>
      </c>
      <c r="T116">
        <v>300</v>
      </c>
      <c r="U116" t="s">
        <v>255</v>
      </c>
      <c r="AA116" t="s">
        <v>256</v>
      </c>
    </row>
    <row r="117" spans="1:27" x14ac:dyDescent="0.25">
      <c r="A117" t="s">
        <v>15</v>
      </c>
      <c r="B117" t="s">
        <v>248</v>
      </c>
      <c r="C117" t="s">
        <v>257</v>
      </c>
      <c r="D117">
        <v>220</v>
      </c>
      <c r="E117">
        <f t="shared" si="2"/>
        <v>2200</v>
      </c>
      <c r="F117" s="11"/>
      <c r="G117" s="11"/>
      <c r="J117" s="11">
        <v>650</v>
      </c>
      <c r="K117" s="11">
        <v>650</v>
      </c>
      <c r="L117" s="17"/>
      <c r="M117" s="17"/>
      <c r="P117">
        <v>150</v>
      </c>
      <c r="R117">
        <v>500</v>
      </c>
      <c r="S117">
        <v>150</v>
      </c>
      <c r="T117">
        <v>350</v>
      </c>
      <c r="U117" t="s">
        <v>258</v>
      </c>
      <c r="AA117" t="s">
        <v>259</v>
      </c>
    </row>
    <row r="118" spans="1:27" x14ac:dyDescent="0.25">
      <c r="A118" t="s">
        <v>15</v>
      </c>
      <c r="B118" t="s">
        <v>248</v>
      </c>
      <c r="C118" t="s">
        <v>260</v>
      </c>
      <c r="D118">
        <v>500</v>
      </c>
      <c r="E118">
        <f t="shared" si="2"/>
        <v>5000</v>
      </c>
      <c r="F118" s="11"/>
      <c r="G118" s="11"/>
      <c r="J118" s="11">
        <v>830</v>
      </c>
      <c r="K118" s="11">
        <v>830</v>
      </c>
      <c r="L118" s="17"/>
      <c r="M118" s="17"/>
      <c r="P118">
        <v>150</v>
      </c>
      <c r="R118">
        <v>700</v>
      </c>
      <c r="S118">
        <v>150</v>
      </c>
      <c r="T118">
        <v>600</v>
      </c>
      <c r="U118" t="s">
        <v>261</v>
      </c>
      <c r="AA118" t="s">
        <v>262</v>
      </c>
    </row>
    <row r="119" spans="1:27" x14ac:dyDescent="0.25">
      <c r="A119" t="s">
        <v>15</v>
      </c>
      <c r="B119" t="s">
        <v>248</v>
      </c>
      <c r="C119" t="s">
        <v>263</v>
      </c>
      <c r="D119">
        <v>85</v>
      </c>
      <c r="E119">
        <f t="shared" si="2"/>
        <v>850</v>
      </c>
      <c r="F119" s="11"/>
      <c r="G119" s="11"/>
      <c r="J119" s="11">
        <v>470</v>
      </c>
      <c r="K119" s="11">
        <v>420</v>
      </c>
      <c r="L119" s="17"/>
      <c r="M119" s="17"/>
      <c r="P119">
        <v>150</v>
      </c>
      <c r="R119">
        <v>320</v>
      </c>
      <c r="S119">
        <v>150</v>
      </c>
      <c r="T119">
        <v>23</v>
      </c>
      <c r="U119">
        <v>20</v>
      </c>
    </row>
    <row r="120" spans="1:27" x14ac:dyDescent="0.25">
      <c r="A120" t="s">
        <v>15</v>
      </c>
      <c r="B120" t="s">
        <v>460</v>
      </c>
      <c r="C120" s="1" t="s">
        <v>529</v>
      </c>
      <c r="D120">
        <v>30</v>
      </c>
      <c r="E120">
        <v>280</v>
      </c>
      <c r="F120" s="11"/>
      <c r="G120" s="11"/>
      <c r="J120" s="11"/>
      <c r="K120" s="11"/>
      <c r="L120" s="17"/>
      <c r="M120" s="17"/>
      <c r="U120">
        <v>15</v>
      </c>
    </row>
    <row r="121" spans="1:27" x14ac:dyDescent="0.25">
      <c r="A121" t="s">
        <v>15</v>
      </c>
      <c r="B121" t="s">
        <v>460</v>
      </c>
      <c r="C121" s="1" t="s">
        <v>530</v>
      </c>
      <c r="D121">
        <v>45</v>
      </c>
      <c r="E121">
        <v>400</v>
      </c>
      <c r="F121" s="11"/>
      <c r="G121" s="11"/>
      <c r="J121" s="11"/>
      <c r="K121" s="11"/>
      <c r="L121" s="17"/>
      <c r="M121" s="17"/>
      <c r="U121">
        <v>20</v>
      </c>
    </row>
    <row r="122" spans="1:27" x14ac:dyDescent="0.25">
      <c r="A122" t="s">
        <v>15</v>
      </c>
      <c r="B122" t="s">
        <v>460</v>
      </c>
      <c r="C122" s="1" t="s">
        <v>531</v>
      </c>
      <c r="D122">
        <v>55</v>
      </c>
      <c r="E122">
        <v>500</v>
      </c>
      <c r="F122" s="11"/>
      <c r="G122" s="11"/>
      <c r="J122" s="11"/>
      <c r="K122" s="11"/>
      <c r="L122" s="17"/>
      <c r="M122" s="17"/>
      <c r="U122">
        <v>25</v>
      </c>
    </row>
    <row r="123" spans="1:27" x14ac:dyDescent="0.25">
      <c r="A123" t="s">
        <v>15</v>
      </c>
      <c r="B123" t="s">
        <v>460</v>
      </c>
      <c r="C123" s="1" t="s">
        <v>532</v>
      </c>
      <c r="D123">
        <v>70</v>
      </c>
      <c r="E123">
        <v>600</v>
      </c>
      <c r="F123" s="11"/>
      <c r="G123" s="11"/>
      <c r="J123" s="11"/>
      <c r="K123" s="11"/>
      <c r="L123" s="17"/>
      <c r="M123" s="17"/>
      <c r="U123">
        <v>30</v>
      </c>
    </row>
    <row r="124" spans="1:27" x14ac:dyDescent="0.25">
      <c r="A124" t="s">
        <v>15</v>
      </c>
      <c r="B124" t="s">
        <v>460</v>
      </c>
      <c r="C124" s="1" t="s">
        <v>533</v>
      </c>
      <c r="D124">
        <v>90</v>
      </c>
      <c r="E124">
        <v>800</v>
      </c>
      <c r="F124" s="11"/>
      <c r="G124" s="11"/>
      <c r="J124" s="11"/>
      <c r="K124" s="11"/>
      <c r="L124" s="17"/>
      <c r="M124" s="17"/>
      <c r="U124">
        <v>35</v>
      </c>
    </row>
    <row r="125" spans="1:27" x14ac:dyDescent="0.25">
      <c r="A125" t="s">
        <v>15</v>
      </c>
      <c r="B125" t="s">
        <v>460</v>
      </c>
      <c r="C125" s="1" t="s">
        <v>534</v>
      </c>
      <c r="D125">
        <v>110</v>
      </c>
      <c r="E125">
        <v>1000</v>
      </c>
      <c r="F125" s="11"/>
      <c r="G125" s="11"/>
      <c r="J125" s="11"/>
      <c r="K125" s="11"/>
      <c r="L125" s="17"/>
      <c r="M125" s="17"/>
      <c r="U125">
        <v>40</v>
      </c>
    </row>
    <row r="126" spans="1:27" x14ac:dyDescent="0.25">
      <c r="A126" t="s">
        <v>15</v>
      </c>
      <c r="B126" t="s">
        <v>460</v>
      </c>
      <c r="C126" s="1" t="s">
        <v>535</v>
      </c>
      <c r="D126">
        <v>130</v>
      </c>
      <c r="E126">
        <v>1200</v>
      </c>
      <c r="F126" s="11"/>
      <c r="G126" s="11"/>
      <c r="J126" s="11"/>
      <c r="K126" s="11"/>
      <c r="L126" s="17"/>
      <c r="M126" s="17"/>
      <c r="U126">
        <v>45</v>
      </c>
    </row>
    <row r="127" spans="1:27" x14ac:dyDescent="0.25">
      <c r="A127" t="s">
        <v>15</v>
      </c>
      <c r="B127" t="s">
        <v>460</v>
      </c>
      <c r="C127" s="1" t="s">
        <v>536</v>
      </c>
      <c r="D127">
        <v>160</v>
      </c>
      <c r="E127">
        <v>1400</v>
      </c>
      <c r="F127" s="11"/>
      <c r="G127" s="11"/>
      <c r="J127" s="11"/>
      <c r="K127" s="11"/>
      <c r="L127" s="17"/>
      <c r="M127" s="17"/>
      <c r="U127">
        <v>50</v>
      </c>
    </row>
    <row r="128" spans="1:27" x14ac:dyDescent="0.25">
      <c r="A128" t="s">
        <v>15</v>
      </c>
      <c r="B128" t="s">
        <v>460</v>
      </c>
      <c r="C128" s="1" t="s">
        <v>537</v>
      </c>
      <c r="D128">
        <v>180</v>
      </c>
      <c r="E128">
        <v>1600</v>
      </c>
      <c r="F128" s="11"/>
      <c r="G128" s="11"/>
      <c r="J128" s="11"/>
      <c r="K128" s="11"/>
      <c r="L128" s="17"/>
      <c r="M128" s="17"/>
      <c r="U128">
        <v>55</v>
      </c>
    </row>
    <row r="129" spans="1:27" x14ac:dyDescent="0.25">
      <c r="A129" t="s">
        <v>15</v>
      </c>
      <c r="B129" t="s">
        <v>19</v>
      </c>
      <c r="C129" t="s">
        <v>20</v>
      </c>
      <c r="D129">
        <v>100</v>
      </c>
      <c r="E129">
        <f>D129*10</f>
        <v>1000</v>
      </c>
      <c r="F129" s="11">
        <v>650</v>
      </c>
      <c r="G129" s="11">
        <v>600</v>
      </c>
      <c r="J129" s="11">
        <v>650</v>
      </c>
      <c r="K129" s="11">
        <v>600</v>
      </c>
      <c r="L129" s="17"/>
      <c r="M129" s="17"/>
      <c r="O129">
        <v>800</v>
      </c>
      <c r="P129">
        <v>150</v>
      </c>
      <c r="Q129">
        <v>600</v>
      </c>
      <c r="R129">
        <v>450</v>
      </c>
      <c r="S129">
        <v>150</v>
      </c>
      <c r="T129">
        <v>150</v>
      </c>
      <c r="U129">
        <v>20</v>
      </c>
      <c r="AA129" t="s">
        <v>21</v>
      </c>
    </row>
    <row r="130" spans="1:27" x14ac:dyDescent="0.25">
      <c r="A130" t="s">
        <v>15</v>
      </c>
      <c r="B130" t="s">
        <v>460</v>
      </c>
      <c r="C130" s="1" t="s">
        <v>538</v>
      </c>
      <c r="D130">
        <v>200</v>
      </c>
      <c r="E130">
        <v>1800</v>
      </c>
      <c r="F130" s="11"/>
      <c r="G130" s="11"/>
      <c r="J130" s="11"/>
      <c r="K130" s="11"/>
      <c r="L130" s="17"/>
      <c r="M130" s="17"/>
      <c r="U130">
        <v>60</v>
      </c>
    </row>
    <row r="131" spans="1:27" x14ac:dyDescent="0.25">
      <c r="A131" t="s">
        <v>15</v>
      </c>
      <c r="B131" t="s">
        <v>460</v>
      </c>
      <c r="C131" s="1" t="s">
        <v>539</v>
      </c>
      <c r="D131">
        <v>220</v>
      </c>
      <c r="E131">
        <v>2000</v>
      </c>
      <c r="F131" s="11"/>
      <c r="G131" s="11"/>
      <c r="J131" s="11"/>
      <c r="K131" s="11"/>
      <c r="L131" s="17"/>
      <c r="M131" s="17"/>
      <c r="U131">
        <v>70</v>
      </c>
    </row>
    <row r="132" spans="1:27" x14ac:dyDescent="0.25">
      <c r="A132" t="s">
        <v>15</v>
      </c>
      <c r="B132" t="s">
        <v>460</v>
      </c>
      <c r="C132" s="1" t="s">
        <v>540</v>
      </c>
      <c r="D132">
        <v>240</v>
      </c>
      <c r="E132">
        <v>2200</v>
      </c>
      <c r="F132" s="11"/>
      <c r="G132" s="11"/>
      <c r="J132" s="11"/>
      <c r="K132" s="11"/>
      <c r="L132" s="17"/>
      <c r="M132" s="17"/>
      <c r="U132">
        <v>70</v>
      </c>
    </row>
    <row r="133" spans="1:27" x14ac:dyDescent="0.25">
      <c r="A133" t="s">
        <v>15</v>
      </c>
      <c r="B133" t="s">
        <v>460</v>
      </c>
      <c r="C133" s="1" t="s">
        <v>541</v>
      </c>
      <c r="D133">
        <v>290</v>
      </c>
      <c r="E133">
        <v>2600</v>
      </c>
      <c r="F133" s="11"/>
      <c r="G133" s="11"/>
      <c r="J133" s="11"/>
      <c r="K133" s="11"/>
      <c r="L133" s="17"/>
      <c r="M133" s="17"/>
      <c r="U133">
        <v>80</v>
      </c>
    </row>
    <row r="134" spans="1:27" x14ac:dyDescent="0.25">
      <c r="A134" t="s">
        <v>15</v>
      </c>
      <c r="B134" t="s">
        <v>460</v>
      </c>
      <c r="C134" s="1" t="s">
        <v>542</v>
      </c>
      <c r="D134">
        <v>340</v>
      </c>
      <c r="E134">
        <v>3000</v>
      </c>
      <c r="F134" s="11"/>
      <c r="G134" s="11"/>
      <c r="J134" s="11"/>
      <c r="K134" s="11"/>
      <c r="L134" s="17"/>
      <c r="M134" s="17"/>
      <c r="U134">
        <v>80</v>
      </c>
    </row>
    <row r="135" spans="1:27" x14ac:dyDescent="0.25">
      <c r="A135" t="s">
        <v>15</v>
      </c>
      <c r="B135" t="s">
        <v>460</v>
      </c>
      <c r="C135" s="1" t="s">
        <v>543</v>
      </c>
      <c r="D135">
        <v>400</v>
      </c>
      <c r="E135">
        <v>3500</v>
      </c>
      <c r="F135" s="11"/>
      <c r="G135" s="11"/>
      <c r="J135" s="11"/>
      <c r="K135" s="11"/>
      <c r="L135" s="17"/>
      <c r="M135" s="17"/>
      <c r="U135">
        <v>90</v>
      </c>
    </row>
    <row r="136" spans="1:27" x14ac:dyDescent="0.25">
      <c r="A136" t="s">
        <v>15</v>
      </c>
      <c r="B136" t="s">
        <v>460</v>
      </c>
      <c r="C136" s="1" t="s">
        <v>544</v>
      </c>
      <c r="D136">
        <v>450</v>
      </c>
      <c r="E136">
        <v>4000</v>
      </c>
      <c r="F136" s="11"/>
      <c r="G136" s="11"/>
      <c r="J136" s="11"/>
      <c r="K136" s="11"/>
      <c r="L136" s="17"/>
      <c r="M136" s="17"/>
      <c r="U136">
        <v>90</v>
      </c>
    </row>
    <row r="137" spans="1:27" x14ac:dyDescent="0.25">
      <c r="A137" t="s">
        <v>15</v>
      </c>
      <c r="B137" t="s">
        <v>460</v>
      </c>
      <c r="C137" s="1" t="s">
        <v>545</v>
      </c>
      <c r="D137">
        <v>500</v>
      </c>
      <c r="E137">
        <v>4500</v>
      </c>
      <c r="F137" s="11"/>
      <c r="G137" s="11"/>
      <c r="J137" s="11"/>
      <c r="K137" s="11"/>
      <c r="L137" s="17"/>
      <c r="M137" s="17"/>
      <c r="U137">
        <v>90</v>
      </c>
    </row>
    <row r="138" spans="1:27" x14ac:dyDescent="0.25">
      <c r="A138" t="s">
        <v>15</v>
      </c>
      <c r="B138" t="s">
        <v>460</v>
      </c>
      <c r="C138" s="1" t="s">
        <v>546</v>
      </c>
      <c r="D138">
        <v>560</v>
      </c>
      <c r="E138">
        <v>5000</v>
      </c>
      <c r="F138" s="11"/>
      <c r="G138" s="11"/>
      <c r="J138" s="11"/>
      <c r="K138" s="11"/>
      <c r="L138" s="17"/>
      <c r="M138" s="17"/>
      <c r="U138">
        <v>90</v>
      </c>
    </row>
    <row r="139" spans="1:27" x14ac:dyDescent="0.25">
      <c r="A139" t="s">
        <v>15</v>
      </c>
      <c r="B139" t="s">
        <v>460</v>
      </c>
      <c r="C139" s="1" t="s">
        <v>461</v>
      </c>
      <c r="D139">
        <v>35</v>
      </c>
      <c r="E139">
        <v>300</v>
      </c>
      <c r="F139" s="11"/>
      <c r="G139" s="11"/>
      <c r="J139" s="11"/>
      <c r="K139" s="11"/>
      <c r="L139" s="17"/>
      <c r="M139" s="17"/>
      <c r="U139">
        <v>15</v>
      </c>
    </row>
    <row r="140" spans="1:27" x14ac:dyDescent="0.25">
      <c r="A140" t="s">
        <v>15</v>
      </c>
      <c r="B140" t="s">
        <v>460</v>
      </c>
      <c r="C140" s="1" t="s">
        <v>461</v>
      </c>
      <c r="D140">
        <v>35</v>
      </c>
      <c r="E140">
        <v>300</v>
      </c>
      <c r="F140" s="11"/>
      <c r="G140" s="11"/>
      <c r="J140" s="11"/>
      <c r="K140" s="11"/>
      <c r="L140" s="17"/>
      <c r="M140" s="17"/>
      <c r="U140">
        <v>18</v>
      </c>
    </row>
    <row r="141" spans="1:27" x14ac:dyDescent="0.25">
      <c r="A141" t="s">
        <v>15</v>
      </c>
      <c r="B141" t="s">
        <v>460</v>
      </c>
      <c r="C141" s="1" t="s">
        <v>461</v>
      </c>
      <c r="D141">
        <v>35</v>
      </c>
      <c r="E141">
        <v>300</v>
      </c>
      <c r="F141" s="11"/>
      <c r="G141" s="11"/>
      <c r="J141" s="11"/>
      <c r="K141" s="11"/>
      <c r="L141" s="17"/>
      <c r="M141" s="17"/>
      <c r="U141">
        <v>22</v>
      </c>
    </row>
    <row r="142" spans="1:27" x14ac:dyDescent="0.25">
      <c r="A142" t="s">
        <v>15</v>
      </c>
      <c r="B142" t="s">
        <v>27</v>
      </c>
      <c r="C142" t="s">
        <v>28</v>
      </c>
      <c r="D142">
        <v>380</v>
      </c>
      <c r="E142">
        <f t="shared" ref="E142:E176" si="3">D142*10</f>
        <v>3800</v>
      </c>
      <c r="F142" s="11">
        <v>1050</v>
      </c>
      <c r="G142" s="11">
        <v>950</v>
      </c>
      <c r="J142" s="11">
        <v>1050</v>
      </c>
      <c r="K142" s="11">
        <v>950</v>
      </c>
      <c r="L142" s="17"/>
      <c r="M142" s="17"/>
      <c r="T142">
        <v>570</v>
      </c>
      <c r="U142">
        <v>39</v>
      </c>
      <c r="AA142" t="s">
        <v>29</v>
      </c>
    </row>
    <row r="143" spans="1:27" x14ac:dyDescent="0.25">
      <c r="A143" t="s">
        <v>15</v>
      </c>
      <c r="B143" t="s">
        <v>22</v>
      </c>
      <c r="C143" t="s">
        <v>23</v>
      </c>
      <c r="D143">
        <v>500</v>
      </c>
      <c r="E143">
        <f t="shared" si="3"/>
        <v>5000</v>
      </c>
      <c r="F143" s="11">
        <v>1200</v>
      </c>
      <c r="G143" s="11">
        <v>1200</v>
      </c>
      <c r="J143" s="11">
        <v>840</v>
      </c>
      <c r="K143" s="11">
        <v>840</v>
      </c>
      <c r="L143" s="17"/>
      <c r="M143" s="17"/>
      <c r="O143">
        <v>1560</v>
      </c>
      <c r="P143">
        <v>300</v>
      </c>
      <c r="Q143">
        <v>860</v>
      </c>
      <c r="R143">
        <v>700</v>
      </c>
      <c r="S143">
        <v>300</v>
      </c>
      <c r="T143">
        <v>750</v>
      </c>
      <c r="U143">
        <v>44.7</v>
      </c>
      <c r="AA143" t="s">
        <v>24</v>
      </c>
    </row>
    <row r="144" spans="1:27" x14ac:dyDescent="0.25">
      <c r="A144" t="s">
        <v>15</v>
      </c>
      <c r="B144" t="s">
        <v>22</v>
      </c>
      <c r="C144" t="s">
        <v>25</v>
      </c>
      <c r="D144">
        <v>60</v>
      </c>
      <c r="E144">
        <f t="shared" si="3"/>
        <v>600</v>
      </c>
      <c r="F144" s="11">
        <v>650</v>
      </c>
      <c r="G144" s="11">
        <v>430</v>
      </c>
      <c r="J144" s="11">
        <v>650</v>
      </c>
      <c r="K144" s="11">
        <v>430</v>
      </c>
      <c r="L144" s="17"/>
      <c r="M144" s="17"/>
      <c r="O144">
        <v>520</v>
      </c>
      <c r="P144">
        <v>190</v>
      </c>
      <c r="Q144">
        <f>O144*0.6</f>
        <v>312</v>
      </c>
      <c r="R144">
        <v>330</v>
      </c>
      <c r="S144">
        <v>190</v>
      </c>
      <c r="T144">
        <v>90</v>
      </c>
      <c r="U144">
        <v>15.5</v>
      </c>
      <c r="AA144" t="s">
        <v>26</v>
      </c>
    </row>
    <row r="145" spans="1:27" x14ac:dyDescent="0.25">
      <c r="A145" t="s">
        <v>133</v>
      </c>
      <c r="B145" t="s">
        <v>134</v>
      </c>
      <c r="C145" t="s">
        <v>135</v>
      </c>
      <c r="D145">
        <v>130</v>
      </c>
      <c r="E145">
        <f t="shared" si="3"/>
        <v>1300</v>
      </c>
      <c r="F145" s="11">
        <v>750</v>
      </c>
      <c r="G145" s="11">
        <v>700</v>
      </c>
      <c r="J145" s="11">
        <v>500</v>
      </c>
      <c r="K145" s="11">
        <v>500</v>
      </c>
      <c r="L145" s="17"/>
      <c r="M145" s="17"/>
      <c r="O145">
        <v>800</v>
      </c>
      <c r="P145">
        <v>250</v>
      </c>
      <c r="Q145">
        <v>550</v>
      </c>
      <c r="R145">
        <v>500</v>
      </c>
      <c r="T145">
        <v>195</v>
      </c>
      <c r="U145">
        <v>22.8</v>
      </c>
      <c r="AA145" t="s">
        <v>136</v>
      </c>
    </row>
    <row r="146" spans="1:27" x14ac:dyDescent="0.25">
      <c r="A146" t="s">
        <v>133</v>
      </c>
      <c r="B146" t="s">
        <v>134</v>
      </c>
      <c r="C146" t="s">
        <v>137</v>
      </c>
      <c r="D146">
        <v>180</v>
      </c>
      <c r="E146">
        <f t="shared" si="3"/>
        <v>1800</v>
      </c>
      <c r="F146" s="11">
        <v>850</v>
      </c>
      <c r="G146" s="11">
        <v>800</v>
      </c>
      <c r="J146" s="11">
        <v>580</v>
      </c>
      <c r="K146" s="11">
        <v>580</v>
      </c>
      <c r="L146" s="17"/>
      <c r="M146" s="17"/>
      <c r="O146">
        <v>900</v>
      </c>
      <c r="P146">
        <v>300</v>
      </c>
      <c r="Q146">
        <v>600</v>
      </c>
      <c r="R146">
        <v>600</v>
      </c>
      <c r="T146">
        <v>270</v>
      </c>
      <c r="U146">
        <v>26.8</v>
      </c>
      <c r="AA146" t="s">
        <v>138</v>
      </c>
    </row>
    <row r="147" spans="1:27" x14ac:dyDescent="0.25">
      <c r="A147" t="s">
        <v>133</v>
      </c>
      <c r="B147" t="s">
        <v>134</v>
      </c>
      <c r="C147" t="s">
        <v>139</v>
      </c>
      <c r="D147">
        <v>220</v>
      </c>
      <c r="E147">
        <f t="shared" si="3"/>
        <v>2200</v>
      </c>
      <c r="F147" s="11">
        <v>900</v>
      </c>
      <c r="G147" s="11">
        <v>850</v>
      </c>
      <c r="J147" s="11">
        <v>610</v>
      </c>
      <c r="K147" s="11">
        <v>610</v>
      </c>
      <c r="L147" s="17"/>
      <c r="M147" s="17"/>
      <c r="O147">
        <v>1000</v>
      </c>
      <c r="P147">
        <v>300</v>
      </c>
      <c r="Q147">
        <v>700</v>
      </c>
      <c r="R147">
        <v>650</v>
      </c>
      <c r="T147">
        <v>330</v>
      </c>
      <c r="U147">
        <v>29.7</v>
      </c>
      <c r="AA147" t="s">
        <v>140</v>
      </c>
    </row>
    <row r="148" spans="1:27" x14ac:dyDescent="0.25">
      <c r="A148" t="s">
        <v>133</v>
      </c>
      <c r="B148" t="s">
        <v>134</v>
      </c>
      <c r="C148" t="s">
        <v>141</v>
      </c>
      <c r="D148">
        <v>280</v>
      </c>
      <c r="E148">
        <f t="shared" si="3"/>
        <v>2800</v>
      </c>
      <c r="F148" s="11">
        <v>950</v>
      </c>
      <c r="G148" s="11">
        <v>900</v>
      </c>
      <c r="J148" s="11">
        <v>660</v>
      </c>
      <c r="K148" s="11">
        <v>660</v>
      </c>
      <c r="L148" s="17"/>
      <c r="M148" s="17"/>
      <c r="O148">
        <v>1100</v>
      </c>
      <c r="P148">
        <v>350</v>
      </c>
      <c r="Q148">
        <v>750</v>
      </c>
      <c r="R148">
        <v>700</v>
      </c>
      <c r="T148">
        <v>420</v>
      </c>
      <c r="U148">
        <v>33.5</v>
      </c>
      <c r="AA148" t="s">
        <v>142</v>
      </c>
    </row>
    <row r="149" spans="1:27" x14ac:dyDescent="0.25">
      <c r="A149" t="s">
        <v>133</v>
      </c>
      <c r="B149" t="s">
        <v>134</v>
      </c>
      <c r="C149" t="s">
        <v>143</v>
      </c>
      <c r="D149">
        <v>350</v>
      </c>
      <c r="E149">
        <f t="shared" si="3"/>
        <v>3500</v>
      </c>
      <c r="F149" s="11">
        <v>1050</v>
      </c>
      <c r="G149" s="11">
        <v>950</v>
      </c>
      <c r="J149" s="11">
        <v>710</v>
      </c>
      <c r="K149" s="11">
        <v>710</v>
      </c>
      <c r="L149" s="17"/>
      <c r="M149" s="17"/>
      <c r="O149">
        <v>1200</v>
      </c>
      <c r="P149">
        <v>400</v>
      </c>
      <c r="Q149">
        <v>800</v>
      </c>
      <c r="R149">
        <v>800</v>
      </c>
      <c r="T149">
        <v>525</v>
      </c>
      <c r="U149">
        <v>37.4</v>
      </c>
      <c r="AA149" t="s">
        <v>144</v>
      </c>
    </row>
    <row r="150" spans="1:27" x14ac:dyDescent="0.25">
      <c r="A150" t="s">
        <v>133</v>
      </c>
      <c r="B150" t="s">
        <v>134</v>
      </c>
      <c r="C150" t="s">
        <v>145</v>
      </c>
      <c r="D150">
        <v>420</v>
      </c>
      <c r="E150">
        <f t="shared" si="3"/>
        <v>4200</v>
      </c>
      <c r="F150" s="11">
        <v>1150</v>
      </c>
      <c r="G150" s="11">
        <v>1050</v>
      </c>
      <c r="J150" s="11">
        <v>820</v>
      </c>
      <c r="K150" s="11">
        <v>820</v>
      </c>
      <c r="L150" s="17"/>
      <c r="M150" s="17"/>
      <c r="O150">
        <v>1300</v>
      </c>
      <c r="P150">
        <v>400</v>
      </c>
      <c r="Q150">
        <v>900</v>
      </c>
      <c r="R150">
        <v>900</v>
      </c>
      <c r="T150">
        <v>630</v>
      </c>
      <c r="U150">
        <v>41</v>
      </c>
      <c r="AA150" t="s">
        <v>142</v>
      </c>
    </row>
    <row r="151" spans="1:27" x14ac:dyDescent="0.25">
      <c r="A151" t="s">
        <v>133</v>
      </c>
      <c r="B151" t="s">
        <v>134</v>
      </c>
      <c r="C151" t="s">
        <v>146</v>
      </c>
      <c r="D151">
        <v>520</v>
      </c>
      <c r="E151">
        <f t="shared" si="3"/>
        <v>5200</v>
      </c>
      <c r="F151" s="11">
        <v>1250</v>
      </c>
      <c r="G151" s="11">
        <v>1150</v>
      </c>
      <c r="J151" s="11">
        <v>920</v>
      </c>
      <c r="K151" s="11">
        <v>920</v>
      </c>
      <c r="L151" s="17"/>
      <c r="M151" s="17"/>
      <c r="O151">
        <v>1400</v>
      </c>
      <c r="P151">
        <v>450</v>
      </c>
      <c r="Q151">
        <v>1000</v>
      </c>
      <c r="R151">
        <v>1000</v>
      </c>
      <c r="T151">
        <v>780</v>
      </c>
      <c r="U151">
        <v>45.6</v>
      </c>
      <c r="AA151" t="s">
        <v>147</v>
      </c>
    </row>
    <row r="152" spans="1:27" x14ac:dyDescent="0.25">
      <c r="A152" t="s">
        <v>133</v>
      </c>
      <c r="B152" t="s">
        <v>134</v>
      </c>
      <c r="C152" t="s">
        <v>148</v>
      </c>
      <c r="D152">
        <v>600</v>
      </c>
      <c r="E152">
        <f t="shared" si="3"/>
        <v>6000</v>
      </c>
      <c r="F152" s="11">
        <v>1350</v>
      </c>
      <c r="G152" s="11">
        <v>1250</v>
      </c>
      <c r="J152" s="11">
        <v>1020</v>
      </c>
      <c r="K152" s="11">
        <v>1020</v>
      </c>
      <c r="L152" s="17"/>
      <c r="M152" s="17"/>
      <c r="O152">
        <v>1500</v>
      </c>
      <c r="P152">
        <v>500</v>
      </c>
      <c r="Q152">
        <v>1100</v>
      </c>
      <c r="R152">
        <v>1100</v>
      </c>
      <c r="T152">
        <v>900</v>
      </c>
      <c r="U152">
        <v>49</v>
      </c>
      <c r="AA152" t="s">
        <v>149</v>
      </c>
    </row>
    <row r="153" spans="1:27" x14ac:dyDescent="0.25">
      <c r="A153" t="s">
        <v>133</v>
      </c>
      <c r="B153" t="s">
        <v>150</v>
      </c>
      <c r="C153" t="s">
        <v>151</v>
      </c>
      <c r="D153">
        <v>130</v>
      </c>
      <c r="E153">
        <f t="shared" si="3"/>
        <v>1300</v>
      </c>
      <c r="F153" s="11">
        <v>750</v>
      </c>
      <c r="G153" s="11">
        <v>700</v>
      </c>
      <c r="J153" s="11">
        <v>500</v>
      </c>
      <c r="K153" s="11">
        <v>500</v>
      </c>
      <c r="L153" s="17"/>
      <c r="M153" s="17"/>
      <c r="O153">
        <v>800</v>
      </c>
      <c r="P153">
        <v>250</v>
      </c>
      <c r="Q153">
        <v>550</v>
      </c>
      <c r="R153">
        <v>500</v>
      </c>
      <c r="T153">
        <v>195</v>
      </c>
      <c r="U153">
        <v>22.8</v>
      </c>
      <c r="AA153" t="s">
        <v>152</v>
      </c>
    </row>
    <row r="154" spans="1:27" x14ac:dyDescent="0.25">
      <c r="A154" t="s">
        <v>133</v>
      </c>
      <c r="B154" t="s">
        <v>150</v>
      </c>
      <c r="C154" t="s">
        <v>153</v>
      </c>
      <c r="D154">
        <v>180</v>
      </c>
      <c r="E154">
        <f t="shared" si="3"/>
        <v>1800</v>
      </c>
      <c r="F154" s="11">
        <v>850</v>
      </c>
      <c r="G154" s="11">
        <v>800</v>
      </c>
      <c r="J154" s="11">
        <v>580</v>
      </c>
      <c r="K154" s="11">
        <v>580</v>
      </c>
      <c r="L154" s="17"/>
      <c r="M154" s="17"/>
      <c r="O154">
        <v>900</v>
      </c>
      <c r="P154">
        <v>300</v>
      </c>
      <c r="Q154">
        <v>600</v>
      </c>
      <c r="R154">
        <v>600</v>
      </c>
      <c r="T154">
        <v>270</v>
      </c>
      <c r="U154">
        <v>26.8</v>
      </c>
      <c r="AA154" t="s">
        <v>154</v>
      </c>
    </row>
    <row r="155" spans="1:27" x14ac:dyDescent="0.25">
      <c r="A155" t="s">
        <v>133</v>
      </c>
      <c r="B155" t="s">
        <v>150</v>
      </c>
      <c r="C155" t="s">
        <v>155</v>
      </c>
      <c r="D155">
        <v>220</v>
      </c>
      <c r="E155">
        <f t="shared" si="3"/>
        <v>2200</v>
      </c>
      <c r="F155" s="11">
        <v>900</v>
      </c>
      <c r="G155" s="11">
        <v>850</v>
      </c>
      <c r="J155" s="11">
        <v>610</v>
      </c>
      <c r="K155" s="11">
        <v>610</v>
      </c>
      <c r="L155" s="17"/>
      <c r="M155" s="17"/>
      <c r="O155">
        <v>1000</v>
      </c>
      <c r="P155">
        <v>300</v>
      </c>
      <c r="Q155">
        <v>700</v>
      </c>
      <c r="R155">
        <v>650</v>
      </c>
      <c r="T155">
        <v>330</v>
      </c>
      <c r="U155">
        <v>29.7</v>
      </c>
      <c r="AA155" t="s">
        <v>156</v>
      </c>
    </row>
    <row r="156" spans="1:27" x14ac:dyDescent="0.25">
      <c r="A156" t="s">
        <v>133</v>
      </c>
      <c r="B156" t="s">
        <v>150</v>
      </c>
      <c r="C156" t="s">
        <v>157</v>
      </c>
      <c r="D156">
        <v>280</v>
      </c>
      <c r="E156">
        <f t="shared" si="3"/>
        <v>2800</v>
      </c>
      <c r="F156" s="11">
        <v>950</v>
      </c>
      <c r="G156" s="11">
        <v>900</v>
      </c>
      <c r="J156" s="11">
        <v>660</v>
      </c>
      <c r="K156" s="11">
        <v>660</v>
      </c>
      <c r="L156" s="17"/>
      <c r="M156" s="17"/>
      <c r="O156">
        <v>1100</v>
      </c>
      <c r="P156">
        <v>350</v>
      </c>
      <c r="Q156">
        <v>750</v>
      </c>
      <c r="R156">
        <v>700</v>
      </c>
      <c r="T156">
        <v>420</v>
      </c>
      <c r="U156">
        <v>33.5</v>
      </c>
      <c r="AA156" t="s">
        <v>158</v>
      </c>
    </row>
    <row r="157" spans="1:27" x14ac:dyDescent="0.25">
      <c r="A157" t="s">
        <v>133</v>
      </c>
      <c r="B157" t="s">
        <v>150</v>
      </c>
      <c r="C157" t="s">
        <v>159</v>
      </c>
      <c r="D157">
        <v>350</v>
      </c>
      <c r="E157">
        <f t="shared" si="3"/>
        <v>3500</v>
      </c>
      <c r="F157" s="11">
        <v>1050</v>
      </c>
      <c r="G157" s="11">
        <v>950</v>
      </c>
      <c r="J157" s="11">
        <v>710</v>
      </c>
      <c r="K157" s="11">
        <v>710</v>
      </c>
      <c r="L157" s="17"/>
      <c r="M157" s="17"/>
      <c r="O157">
        <v>1200</v>
      </c>
      <c r="P157">
        <v>400</v>
      </c>
      <c r="Q157">
        <v>800</v>
      </c>
      <c r="R157">
        <v>800</v>
      </c>
      <c r="T157">
        <v>525</v>
      </c>
      <c r="U157">
        <v>37.4</v>
      </c>
      <c r="AA157" t="s">
        <v>160</v>
      </c>
    </row>
    <row r="158" spans="1:27" x14ac:dyDescent="0.25">
      <c r="A158" t="s">
        <v>133</v>
      </c>
      <c r="B158" t="s">
        <v>150</v>
      </c>
      <c r="C158" t="s">
        <v>161</v>
      </c>
      <c r="D158">
        <v>420</v>
      </c>
      <c r="E158">
        <f t="shared" si="3"/>
        <v>4200</v>
      </c>
      <c r="F158" s="11">
        <v>1150</v>
      </c>
      <c r="G158" s="11">
        <v>1050</v>
      </c>
      <c r="J158" s="11">
        <v>820</v>
      </c>
      <c r="K158" s="11">
        <v>820</v>
      </c>
      <c r="L158" s="17"/>
      <c r="M158" s="17"/>
      <c r="O158">
        <v>1300</v>
      </c>
      <c r="P158">
        <v>400</v>
      </c>
      <c r="Q158">
        <v>900</v>
      </c>
      <c r="R158">
        <v>900</v>
      </c>
      <c r="T158">
        <v>630</v>
      </c>
      <c r="U158">
        <v>41</v>
      </c>
      <c r="AA158" t="s">
        <v>162</v>
      </c>
    </row>
    <row r="159" spans="1:27" x14ac:dyDescent="0.25">
      <c r="A159" t="s">
        <v>133</v>
      </c>
      <c r="B159" t="s">
        <v>163</v>
      </c>
      <c r="C159" t="s">
        <v>164</v>
      </c>
      <c r="D159">
        <v>130</v>
      </c>
      <c r="E159">
        <f t="shared" si="3"/>
        <v>1300</v>
      </c>
      <c r="F159" s="11">
        <v>750</v>
      </c>
      <c r="G159" s="11">
        <v>700</v>
      </c>
      <c r="J159" s="11">
        <v>500</v>
      </c>
      <c r="K159" s="11">
        <v>500</v>
      </c>
      <c r="L159" s="17"/>
      <c r="M159" s="17"/>
      <c r="O159">
        <v>800</v>
      </c>
      <c r="P159">
        <v>250</v>
      </c>
      <c r="Q159">
        <v>550</v>
      </c>
      <c r="R159">
        <v>500</v>
      </c>
      <c r="T159">
        <v>195</v>
      </c>
      <c r="U159">
        <v>22.8</v>
      </c>
      <c r="AA159" t="s">
        <v>165</v>
      </c>
    </row>
    <row r="160" spans="1:27" x14ac:dyDescent="0.25">
      <c r="A160" t="s">
        <v>133</v>
      </c>
      <c r="B160" t="s">
        <v>163</v>
      </c>
      <c r="C160" t="s">
        <v>166</v>
      </c>
      <c r="D160">
        <v>180</v>
      </c>
      <c r="E160">
        <f t="shared" si="3"/>
        <v>1800</v>
      </c>
      <c r="F160" s="11">
        <v>850</v>
      </c>
      <c r="G160" s="11">
        <v>800</v>
      </c>
      <c r="J160" s="11">
        <v>580</v>
      </c>
      <c r="K160" s="11">
        <v>580</v>
      </c>
      <c r="L160" s="17"/>
      <c r="M160" s="17"/>
      <c r="O160">
        <v>900</v>
      </c>
      <c r="P160">
        <v>300</v>
      </c>
      <c r="Q160">
        <v>600</v>
      </c>
      <c r="R160">
        <v>600</v>
      </c>
      <c r="T160">
        <v>270</v>
      </c>
      <c r="U160">
        <v>26.8</v>
      </c>
      <c r="AA160" t="s">
        <v>167</v>
      </c>
    </row>
    <row r="161" spans="1:27" x14ac:dyDescent="0.25">
      <c r="A161" t="s">
        <v>133</v>
      </c>
      <c r="B161" t="s">
        <v>163</v>
      </c>
      <c r="C161" t="s">
        <v>168</v>
      </c>
      <c r="D161">
        <v>220</v>
      </c>
      <c r="E161">
        <f t="shared" si="3"/>
        <v>2200</v>
      </c>
      <c r="F161" s="11">
        <v>900</v>
      </c>
      <c r="G161" s="11">
        <v>850</v>
      </c>
      <c r="J161" s="11">
        <v>610</v>
      </c>
      <c r="K161" s="11">
        <v>610</v>
      </c>
      <c r="L161" s="17"/>
      <c r="M161" s="17"/>
      <c r="O161">
        <v>1000</v>
      </c>
      <c r="P161">
        <v>300</v>
      </c>
      <c r="Q161">
        <v>700</v>
      </c>
      <c r="R161">
        <v>650</v>
      </c>
      <c r="T161">
        <v>330</v>
      </c>
      <c r="U161">
        <v>29.7</v>
      </c>
      <c r="AA161" t="s">
        <v>169</v>
      </c>
    </row>
    <row r="162" spans="1:27" x14ac:dyDescent="0.25">
      <c r="A162" t="s">
        <v>133</v>
      </c>
      <c r="B162" t="s">
        <v>163</v>
      </c>
      <c r="C162" t="s">
        <v>170</v>
      </c>
      <c r="D162">
        <v>250</v>
      </c>
      <c r="E162">
        <f t="shared" si="3"/>
        <v>2500</v>
      </c>
      <c r="F162" s="11">
        <v>930</v>
      </c>
      <c r="G162" s="11">
        <v>880</v>
      </c>
      <c r="J162" s="11">
        <v>640</v>
      </c>
      <c r="K162" s="11">
        <v>640</v>
      </c>
      <c r="L162" s="17"/>
      <c r="M162" s="17"/>
      <c r="O162">
        <v>1050</v>
      </c>
      <c r="P162">
        <v>320</v>
      </c>
      <c r="Q162">
        <v>720</v>
      </c>
      <c r="R162">
        <v>680</v>
      </c>
      <c r="T162">
        <v>375</v>
      </c>
      <c r="U162">
        <v>31.6</v>
      </c>
      <c r="AA162" t="s">
        <v>171</v>
      </c>
    </row>
    <row r="163" spans="1:27" x14ac:dyDescent="0.25">
      <c r="A163" t="s">
        <v>133</v>
      </c>
      <c r="B163" t="s">
        <v>163</v>
      </c>
      <c r="C163" t="s">
        <v>172</v>
      </c>
      <c r="D163">
        <v>300</v>
      </c>
      <c r="E163">
        <f t="shared" si="3"/>
        <v>3000</v>
      </c>
      <c r="F163" s="11">
        <v>980</v>
      </c>
      <c r="G163" s="11">
        <v>930</v>
      </c>
      <c r="J163" s="11">
        <v>680</v>
      </c>
      <c r="K163" s="11">
        <v>680</v>
      </c>
      <c r="L163" s="17"/>
      <c r="M163" s="17"/>
      <c r="O163">
        <v>1100</v>
      </c>
      <c r="P163">
        <v>350</v>
      </c>
      <c r="Q163">
        <v>760</v>
      </c>
      <c r="R163">
        <v>700</v>
      </c>
      <c r="T163">
        <v>450</v>
      </c>
      <c r="U163">
        <v>34.6</v>
      </c>
      <c r="AA163" t="s">
        <v>173</v>
      </c>
    </row>
    <row r="164" spans="1:27" x14ac:dyDescent="0.25">
      <c r="A164" t="s">
        <v>133</v>
      </c>
      <c r="B164" t="s">
        <v>163</v>
      </c>
      <c r="C164" t="s">
        <v>174</v>
      </c>
      <c r="D164">
        <v>350</v>
      </c>
      <c r="E164">
        <f t="shared" si="3"/>
        <v>3500</v>
      </c>
      <c r="F164" s="11">
        <v>1050</v>
      </c>
      <c r="G164" s="11">
        <v>950</v>
      </c>
      <c r="J164" s="11">
        <v>710</v>
      </c>
      <c r="K164" s="11">
        <v>710</v>
      </c>
      <c r="L164" s="17"/>
      <c r="M164" s="17"/>
      <c r="O164">
        <v>1200</v>
      </c>
      <c r="P164">
        <v>400</v>
      </c>
      <c r="Q164">
        <v>800</v>
      </c>
      <c r="R164">
        <v>800</v>
      </c>
      <c r="T164">
        <v>525</v>
      </c>
      <c r="U164">
        <v>37.4</v>
      </c>
      <c r="AA164" t="s">
        <v>175</v>
      </c>
    </row>
    <row r="165" spans="1:27" x14ac:dyDescent="0.25">
      <c r="A165" t="s">
        <v>133</v>
      </c>
      <c r="B165" t="s">
        <v>163</v>
      </c>
      <c r="C165" t="s">
        <v>176</v>
      </c>
      <c r="D165">
        <v>400</v>
      </c>
      <c r="E165">
        <f t="shared" si="3"/>
        <v>4000</v>
      </c>
      <c r="F165" s="11">
        <v>1100</v>
      </c>
      <c r="G165" s="11">
        <v>1000</v>
      </c>
      <c r="J165" s="11">
        <v>750</v>
      </c>
      <c r="K165" s="11">
        <v>750</v>
      </c>
      <c r="L165" s="17"/>
      <c r="M165" s="17"/>
      <c r="O165">
        <v>1250</v>
      </c>
      <c r="P165">
        <v>420</v>
      </c>
      <c r="Q165">
        <v>850</v>
      </c>
      <c r="R165">
        <v>850</v>
      </c>
      <c r="T165">
        <v>600</v>
      </c>
      <c r="U165">
        <v>40</v>
      </c>
      <c r="AA165" t="s">
        <v>177</v>
      </c>
    </row>
    <row r="166" spans="1:27" x14ac:dyDescent="0.25">
      <c r="A166" t="s">
        <v>133</v>
      </c>
      <c r="B166" t="s">
        <v>163</v>
      </c>
      <c r="C166" t="s">
        <v>178</v>
      </c>
      <c r="D166">
        <v>500</v>
      </c>
      <c r="E166">
        <f t="shared" si="3"/>
        <v>5000</v>
      </c>
      <c r="F166" s="11">
        <v>1200</v>
      </c>
      <c r="G166" s="11">
        <v>1100</v>
      </c>
      <c r="J166" s="11">
        <v>820</v>
      </c>
      <c r="K166" s="11">
        <v>820</v>
      </c>
      <c r="L166" s="17"/>
      <c r="M166" s="17"/>
      <c r="O166">
        <v>1350</v>
      </c>
      <c r="P166">
        <v>450</v>
      </c>
      <c r="Q166">
        <v>950</v>
      </c>
      <c r="R166">
        <v>900</v>
      </c>
      <c r="T166">
        <v>750</v>
      </c>
      <c r="U166">
        <v>44.7</v>
      </c>
      <c r="AA166" t="s">
        <v>179</v>
      </c>
    </row>
    <row r="167" spans="1:27" x14ac:dyDescent="0.25">
      <c r="A167" t="s">
        <v>133</v>
      </c>
      <c r="B167" t="s">
        <v>180</v>
      </c>
      <c r="C167" t="s">
        <v>181</v>
      </c>
      <c r="D167">
        <v>13</v>
      </c>
      <c r="E167">
        <f t="shared" si="3"/>
        <v>130</v>
      </c>
      <c r="F167" s="11">
        <v>350</v>
      </c>
      <c r="G167" s="11">
        <v>300</v>
      </c>
      <c r="J167" s="11">
        <v>200</v>
      </c>
      <c r="K167" s="11">
        <v>200</v>
      </c>
      <c r="L167" s="17"/>
      <c r="M167" s="17"/>
      <c r="O167">
        <v>400</v>
      </c>
      <c r="P167">
        <v>120</v>
      </c>
      <c r="Q167">
        <v>250</v>
      </c>
      <c r="R167">
        <v>200</v>
      </c>
      <c r="T167">
        <v>19.5</v>
      </c>
      <c r="U167">
        <v>7.2</v>
      </c>
      <c r="AA167" t="s">
        <v>105</v>
      </c>
    </row>
    <row r="168" spans="1:27" x14ac:dyDescent="0.25">
      <c r="A168" t="s">
        <v>133</v>
      </c>
      <c r="B168" t="s">
        <v>180</v>
      </c>
      <c r="C168" t="s">
        <v>182</v>
      </c>
      <c r="D168">
        <v>33</v>
      </c>
      <c r="E168">
        <f t="shared" si="3"/>
        <v>330</v>
      </c>
      <c r="F168" s="11">
        <v>450</v>
      </c>
      <c r="G168" s="11">
        <v>420</v>
      </c>
      <c r="J168" s="11">
        <v>280</v>
      </c>
      <c r="K168" s="11">
        <v>280</v>
      </c>
      <c r="L168" s="17"/>
      <c r="M168" s="17"/>
      <c r="O168">
        <v>500</v>
      </c>
      <c r="P168">
        <v>150</v>
      </c>
      <c r="Q168">
        <v>300</v>
      </c>
      <c r="R168">
        <v>300</v>
      </c>
      <c r="T168">
        <v>49.5</v>
      </c>
      <c r="U168">
        <v>11.5</v>
      </c>
      <c r="AA168" t="s">
        <v>183</v>
      </c>
    </row>
    <row r="169" spans="1:27" x14ac:dyDescent="0.25">
      <c r="A169" t="s">
        <v>133</v>
      </c>
      <c r="B169" t="s">
        <v>180</v>
      </c>
      <c r="C169" t="s">
        <v>184</v>
      </c>
      <c r="D169">
        <v>66</v>
      </c>
      <c r="E169">
        <f t="shared" si="3"/>
        <v>660</v>
      </c>
      <c r="F169" s="11">
        <v>550</v>
      </c>
      <c r="G169" s="11">
        <v>500</v>
      </c>
      <c r="J169" s="11">
        <v>350</v>
      </c>
      <c r="K169" s="11">
        <v>350</v>
      </c>
      <c r="L169" s="17"/>
      <c r="M169" s="17"/>
      <c r="O169">
        <v>600</v>
      </c>
      <c r="P169">
        <v>200</v>
      </c>
      <c r="Q169">
        <v>400</v>
      </c>
      <c r="R169">
        <v>350</v>
      </c>
      <c r="T169">
        <v>99</v>
      </c>
      <c r="U169">
        <v>16.2</v>
      </c>
      <c r="AA169" t="s">
        <v>185</v>
      </c>
    </row>
    <row r="170" spans="1:27" x14ac:dyDescent="0.25">
      <c r="A170" t="s">
        <v>133</v>
      </c>
      <c r="B170" t="s">
        <v>180</v>
      </c>
      <c r="C170" t="s">
        <v>186</v>
      </c>
      <c r="D170">
        <v>100</v>
      </c>
      <c r="E170">
        <f t="shared" si="3"/>
        <v>1000</v>
      </c>
      <c r="F170" s="11">
        <v>650</v>
      </c>
      <c r="G170" s="11">
        <v>600</v>
      </c>
      <c r="J170" s="11">
        <v>420</v>
      </c>
      <c r="K170" s="11">
        <v>420</v>
      </c>
      <c r="L170" s="17"/>
      <c r="M170" s="17"/>
      <c r="O170">
        <v>700</v>
      </c>
      <c r="P170">
        <v>200</v>
      </c>
      <c r="Q170">
        <v>450</v>
      </c>
      <c r="R170">
        <v>400</v>
      </c>
      <c r="T170">
        <v>150</v>
      </c>
      <c r="U170">
        <v>20</v>
      </c>
      <c r="AA170" t="s">
        <v>109</v>
      </c>
    </row>
    <row r="171" spans="1:27" x14ac:dyDescent="0.25">
      <c r="A171" t="s">
        <v>133</v>
      </c>
      <c r="B171" t="s">
        <v>180</v>
      </c>
      <c r="C171" t="s">
        <v>187</v>
      </c>
      <c r="D171">
        <v>150</v>
      </c>
      <c r="E171">
        <f t="shared" si="3"/>
        <v>1500</v>
      </c>
      <c r="F171" s="11">
        <v>750</v>
      </c>
      <c r="G171" s="11">
        <v>680</v>
      </c>
      <c r="J171" s="11">
        <v>500</v>
      </c>
      <c r="K171" s="11">
        <v>500</v>
      </c>
      <c r="L171" s="17"/>
      <c r="M171" s="17"/>
      <c r="O171">
        <v>800</v>
      </c>
      <c r="P171">
        <v>250</v>
      </c>
      <c r="Q171">
        <v>550</v>
      </c>
      <c r="R171">
        <v>500</v>
      </c>
      <c r="T171">
        <v>225</v>
      </c>
      <c r="U171">
        <v>24.5</v>
      </c>
      <c r="AA171" t="s">
        <v>185</v>
      </c>
    </row>
    <row r="172" spans="1:27" x14ac:dyDescent="0.25">
      <c r="A172" t="s">
        <v>133</v>
      </c>
      <c r="B172" t="s">
        <v>180</v>
      </c>
      <c r="C172" t="s">
        <v>188</v>
      </c>
      <c r="D172">
        <v>200</v>
      </c>
      <c r="E172">
        <f t="shared" si="3"/>
        <v>2000</v>
      </c>
      <c r="F172" s="11">
        <v>830</v>
      </c>
      <c r="G172" s="11">
        <v>760</v>
      </c>
      <c r="J172" s="11">
        <v>560</v>
      </c>
      <c r="K172" s="11">
        <v>560</v>
      </c>
      <c r="L172" s="17"/>
      <c r="M172" s="17"/>
      <c r="O172">
        <v>900</v>
      </c>
      <c r="P172">
        <v>300</v>
      </c>
      <c r="Q172">
        <v>600</v>
      </c>
      <c r="R172">
        <v>600</v>
      </c>
      <c r="T172">
        <v>300</v>
      </c>
      <c r="U172">
        <v>28.3</v>
      </c>
      <c r="AA172" t="s">
        <v>189</v>
      </c>
    </row>
    <row r="173" spans="1:27" x14ac:dyDescent="0.25">
      <c r="A173" t="s">
        <v>190</v>
      </c>
      <c r="B173" t="s">
        <v>191</v>
      </c>
      <c r="C173" t="s">
        <v>192</v>
      </c>
      <c r="D173">
        <v>55</v>
      </c>
      <c r="E173">
        <f t="shared" si="3"/>
        <v>550</v>
      </c>
      <c r="F173" s="11">
        <v>520</v>
      </c>
      <c r="G173" s="11">
        <v>480</v>
      </c>
      <c r="J173" s="11">
        <v>320</v>
      </c>
      <c r="K173" s="11">
        <v>320</v>
      </c>
      <c r="L173" s="17"/>
      <c r="M173" s="17"/>
      <c r="O173">
        <v>550</v>
      </c>
      <c r="P173">
        <v>150</v>
      </c>
      <c r="Q173">
        <v>350</v>
      </c>
      <c r="R173">
        <v>300</v>
      </c>
      <c r="T173">
        <v>82.5</v>
      </c>
      <c r="U173">
        <v>14.8</v>
      </c>
      <c r="AA173" t="s">
        <v>193</v>
      </c>
    </row>
    <row r="174" spans="1:27" x14ac:dyDescent="0.25">
      <c r="A174" t="s">
        <v>190</v>
      </c>
      <c r="B174" t="s">
        <v>191</v>
      </c>
      <c r="C174" t="s">
        <v>194</v>
      </c>
      <c r="D174">
        <v>65</v>
      </c>
      <c r="E174">
        <f t="shared" si="3"/>
        <v>650</v>
      </c>
      <c r="F174" s="11">
        <v>550</v>
      </c>
      <c r="G174" s="11">
        <v>500</v>
      </c>
      <c r="J174" s="11">
        <v>340</v>
      </c>
      <c r="K174" s="11">
        <v>340</v>
      </c>
      <c r="L174" s="17"/>
      <c r="M174" s="17"/>
      <c r="O174">
        <v>600</v>
      </c>
      <c r="P174">
        <v>160</v>
      </c>
      <c r="Q174">
        <v>380</v>
      </c>
      <c r="R174">
        <v>320</v>
      </c>
      <c r="T174">
        <v>97.5</v>
      </c>
      <c r="U174">
        <v>16.100000000000001</v>
      </c>
      <c r="AA174" t="s">
        <v>195</v>
      </c>
    </row>
    <row r="175" spans="1:27" x14ac:dyDescent="0.25">
      <c r="A175" t="s">
        <v>190</v>
      </c>
      <c r="B175" t="s">
        <v>191</v>
      </c>
      <c r="C175" t="s">
        <v>247</v>
      </c>
      <c r="D175">
        <v>85</v>
      </c>
      <c r="E175">
        <f t="shared" si="3"/>
        <v>850</v>
      </c>
      <c r="F175" s="11">
        <v>650</v>
      </c>
      <c r="G175" s="11">
        <v>621</v>
      </c>
      <c r="J175" s="11">
        <v>410</v>
      </c>
      <c r="K175" s="11">
        <v>410</v>
      </c>
      <c r="L175" s="17"/>
      <c r="M175" s="17"/>
      <c r="O175">
        <v>650</v>
      </c>
      <c r="P175">
        <v>400</v>
      </c>
      <c r="Q175">
        <v>700</v>
      </c>
      <c r="R175">
        <v>350</v>
      </c>
      <c r="S175">
        <v>200</v>
      </c>
      <c r="T175">
        <v>77</v>
      </c>
      <c r="U175">
        <v>18</v>
      </c>
      <c r="V175">
        <v>1174</v>
      </c>
      <c r="W175">
        <v>704</v>
      </c>
      <c r="AA175" t="s">
        <v>193</v>
      </c>
    </row>
    <row r="176" spans="1:27" x14ac:dyDescent="0.25">
      <c r="A176" t="s">
        <v>190</v>
      </c>
      <c r="B176" t="s">
        <v>191</v>
      </c>
      <c r="C176" t="s">
        <v>247</v>
      </c>
      <c r="D176">
        <v>85</v>
      </c>
      <c r="E176">
        <f t="shared" si="3"/>
        <v>850</v>
      </c>
      <c r="F176" s="11">
        <v>650</v>
      </c>
      <c r="G176" s="11">
        <v>621</v>
      </c>
      <c r="J176" s="11">
        <v>410</v>
      </c>
      <c r="K176" s="11">
        <v>410</v>
      </c>
      <c r="L176" s="17"/>
      <c r="M176" s="17"/>
      <c r="O176">
        <v>650</v>
      </c>
      <c r="P176">
        <v>400</v>
      </c>
      <c r="Q176">
        <v>700</v>
      </c>
      <c r="R176">
        <v>350</v>
      </c>
      <c r="S176">
        <v>200</v>
      </c>
      <c r="T176">
        <v>77</v>
      </c>
      <c r="U176">
        <v>18</v>
      </c>
      <c r="V176">
        <v>1174</v>
      </c>
      <c r="W176">
        <v>704</v>
      </c>
      <c r="AA176" t="s">
        <v>193</v>
      </c>
    </row>
    <row r="177" spans="1:27" x14ac:dyDescent="0.25">
      <c r="A177" s="9" t="s">
        <v>358</v>
      </c>
      <c r="B177" s="9" t="s">
        <v>359</v>
      </c>
      <c r="C177" s="9" t="s">
        <v>360</v>
      </c>
      <c r="D177" s="9">
        <v>50</v>
      </c>
      <c r="E177" s="9">
        <v>500</v>
      </c>
      <c r="F177" s="12">
        <v>547</v>
      </c>
      <c r="G177" s="12">
        <v>547</v>
      </c>
      <c r="H177" s="9"/>
      <c r="I177" s="9"/>
      <c r="J177" s="12">
        <v>426</v>
      </c>
      <c r="K177" s="12">
        <v>426</v>
      </c>
      <c r="L177" s="18"/>
      <c r="M177" s="18"/>
      <c r="N177" s="9"/>
      <c r="O177" s="9">
        <v>540</v>
      </c>
      <c r="P177" s="9">
        <v>151</v>
      </c>
      <c r="Q177" s="9">
        <v>421</v>
      </c>
      <c r="R177" s="9">
        <v>309</v>
      </c>
      <c r="S177" s="9">
        <v>151</v>
      </c>
      <c r="T177" s="9">
        <v>110</v>
      </c>
      <c r="U177" s="9">
        <v>23</v>
      </c>
      <c r="V177" s="9">
        <v>600</v>
      </c>
      <c r="W177" s="9">
        <v>350</v>
      </c>
      <c r="X177" s="9">
        <v>150</v>
      </c>
      <c r="Y177" s="9">
        <v>100</v>
      </c>
      <c r="Z177" s="9"/>
      <c r="AA177" s="9" t="s">
        <v>361</v>
      </c>
    </row>
    <row r="178" spans="1:27" x14ac:dyDescent="0.25">
      <c r="A178" s="9" t="s">
        <v>358</v>
      </c>
      <c r="B178" s="9" t="s">
        <v>359</v>
      </c>
      <c r="C178" s="9" t="s">
        <v>362</v>
      </c>
      <c r="D178" s="9">
        <v>80</v>
      </c>
      <c r="E178" s="9">
        <v>800</v>
      </c>
      <c r="F178" s="12">
        <v>600</v>
      </c>
      <c r="G178" s="12">
        <v>600</v>
      </c>
      <c r="H178" s="9"/>
      <c r="I178" s="9"/>
      <c r="J178" s="12">
        <v>468</v>
      </c>
      <c r="K178" s="12">
        <v>468</v>
      </c>
      <c r="L178" s="18"/>
      <c r="M178" s="18"/>
      <c r="N178" s="9"/>
      <c r="O178" s="9">
        <v>594</v>
      </c>
      <c r="P178" s="9">
        <v>166</v>
      </c>
      <c r="Q178" s="9">
        <v>463</v>
      </c>
      <c r="R178" s="9">
        <v>348</v>
      </c>
      <c r="S178" s="9">
        <v>166</v>
      </c>
      <c r="T178" s="9">
        <v>176</v>
      </c>
      <c r="U178" s="9">
        <v>29</v>
      </c>
      <c r="V178" s="9">
        <v>960</v>
      </c>
      <c r="W178" s="9">
        <v>560</v>
      </c>
      <c r="X178" s="9">
        <v>150</v>
      </c>
      <c r="Y178" s="9">
        <v>100</v>
      </c>
      <c r="Z178" s="9"/>
      <c r="AA178" s="9" t="s">
        <v>361</v>
      </c>
    </row>
    <row r="179" spans="1:27" x14ac:dyDescent="0.25">
      <c r="A179" s="9" t="s">
        <v>358</v>
      </c>
      <c r="B179" s="9" t="s">
        <v>359</v>
      </c>
      <c r="C179" s="9" t="s">
        <v>363</v>
      </c>
      <c r="D179" s="9">
        <v>110</v>
      </c>
      <c r="E179" s="9">
        <v>1100</v>
      </c>
      <c r="F179" s="12">
        <v>643</v>
      </c>
      <c r="G179" s="12">
        <v>643</v>
      </c>
      <c r="H179" s="9"/>
      <c r="I179" s="9"/>
      <c r="J179" s="12">
        <v>501</v>
      </c>
      <c r="K179" s="12">
        <v>501</v>
      </c>
      <c r="L179" s="18"/>
      <c r="M179" s="18"/>
      <c r="N179" s="9"/>
      <c r="O179" s="9">
        <v>648</v>
      </c>
      <c r="P179" s="9">
        <v>181</v>
      </c>
      <c r="Q179" s="9">
        <v>505</v>
      </c>
      <c r="R179" s="9">
        <v>387</v>
      </c>
      <c r="S179" s="9">
        <v>181</v>
      </c>
      <c r="T179" s="9">
        <v>242</v>
      </c>
      <c r="U179" s="9">
        <v>34</v>
      </c>
      <c r="V179" s="9">
        <v>1320</v>
      </c>
      <c r="W179" s="9">
        <v>770</v>
      </c>
      <c r="X179" s="9">
        <v>150</v>
      </c>
      <c r="Y179" s="9">
        <v>100</v>
      </c>
      <c r="Z179" s="9"/>
      <c r="AA179" s="9" t="s">
        <v>361</v>
      </c>
    </row>
    <row r="180" spans="1:27" x14ac:dyDescent="0.25">
      <c r="A180" s="9" t="s">
        <v>358</v>
      </c>
      <c r="B180" s="9" t="s">
        <v>359</v>
      </c>
      <c r="C180" s="9" t="s">
        <v>364</v>
      </c>
      <c r="D180" s="9">
        <v>140</v>
      </c>
      <c r="E180" s="9">
        <v>1400</v>
      </c>
      <c r="F180" s="12">
        <v>681</v>
      </c>
      <c r="G180" s="12">
        <v>681</v>
      </c>
      <c r="H180" s="9"/>
      <c r="I180" s="9"/>
      <c r="J180" s="12">
        <v>531</v>
      </c>
      <c r="K180" s="12">
        <v>531</v>
      </c>
      <c r="L180" s="18"/>
      <c r="M180" s="18"/>
      <c r="N180" s="9"/>
      <c r="O180" s="9">
        <v>702</v>
      </c>
      <c r="P180" s="9">
        <v>196</v>
      </c>
      <c r="Q180" s="9">
        <v>547</v>
      </c>
      <c r="R180" s="9">
        <v>426</v>
      </c>
      <c r="S180" s="9">
        <v>196</v>
      </c>
      <c r="T180" s="9">
        <v>308</v>
      </c>
      <c r="U180" s="9">
        <v>39</v>
      </c>
      <c r="V180" s="9">
        <v>1680</v>
      </c>
      <c r="W180" s="9">
        <v>980</v>
      </c>
      <c r="X180" s="9">
        <v>150</v>
      </c>
      <c r="Y180" s="9">
        <v>100</v>
      </c>
      <c r="Z180" s="9"/>
      <c r="AA180" s="9" t="s">
        <v>361</v>
      </c>
    </row>
    <row r="181" spans="1:27" x14ac:dyDescent="0.25">
      <c r="A181" s="9" t="s">
        <v>358</v>
      </c>
      <c r="B181" s="9" t="s">
        <v>359</v>
      </c>
      <c r="C181" s="9" t="s">
        <v>365</v>
      </c>
      <c r="D181" s="9">
        <v>180</v>
      </c>
      <c r="E181" s="9">
        <v>1800</v>
      </c>
      <c r="F181" s="12">
        <v>725</v>
      </c>
      <c r="G181" s="12">
        <v>725</v>
      </c>
      <c r="H181" s="9"/>
      <c r="I181" s="9"/>
      <c r="J181" s="12">
        <v>565</v>
      </c>
      <c r="K181" s="12">
        <v>565</v>
      </c>
      <c r="L181" s="18"/>
      <c r="M181" s="18"/>
      <c r="N181" s="9"/>
      <c r="O181" s="9">
        <v>774</v>
      </c>
      <c r="P181" s="9">
        <v>216</v>
      </c>
      <c r="Q181" s="9">
        <v>603</v>
      </c>
      <c r="R181" s="9">
        <v>478</v>
      </c>
      <c r="S181" s="9">
        <v>216</v>
      </c>
      <c r="T181" s="9">
        <v>396</v>
      </c>
      <c r="U181" s="9">
        <v>44</v>
      </c>
      <c r="V181" s="9">
        <v>2160</v>
      </c>
      <c r="W181" s="9">
        <v>1260</v>
      </c>
      <c r="X181" s="9">
        <v>150</v>
      </c>
      <c r="Y181" s="9">
        <v>100</v>
      </c>
      <c r="Z181" s="9"/>
      <c r="AA181" s="9" t="s">
        <v>361</v>
      </c>
    </row>
    <row r="182" spans="1:27" x14ac:dyDescent="0.25">
      <c r="A182" s="9" t="s">
        <v>358</v>
      </c>
      <c r="B182" s="9" t="s">
        <v>359</v>
      </c>
      <c r="C182" s="9" t="s">
        <v>366</v>
      </c>
      <c r="D182" s="9">
        <v>220</v>
      </c>
      <c r="E182" s="9">
        <v>2200</v>
      </c>
      <c r="F182" s="12">
        <v>765</v>
      </c>
      <c r="G182" s="12">
        <v>765</v>
      </c>
      <c r="H182" s="9"/>
      <c r="I182" s="9"/>
      <c r="J182" s="12">
        <v>596</v>
      </c>
      <c r="K182" s="12">
        <v>596</v>
      </c>
      <c r="L182" s="18"/>
      <c r="M182" s="18"/>
      <c r="N182" s="9"/>
      <c r="O182" s="9">
        <v>846</v>
      </c>
      <c r="P182" s="9">
        <v>236</v>
      </c>
      <c r="Q182" s="9">
        <v>659</v>
      </c>
      <c r="R182" s="9">
        <v>530</v>
      </c>
      <c r="S182" s="9">
        <v>236</v>
      </c>
      <c r="T182" s="9">
        <v>484</v>
      </c>
      <c r="U182" s="9">
        <v>48</v>
      </c>
      <c r="V182" s="9">
        <v>2640</v>
      </c>
      <c r="W182" s="9">
        <v>1540</v>
      </c>
      <c r="X182" s="9">
        <v>200</v>
      </c>
      <c r="Y182" s="9">
        <v>125</v>
      </c>
      <c r="Z182" s="9"/>
      <c r="AA182" s="9" t="s">
        <v>361</v>
      </c>
    </row>
    <row r="183" spans="1:27" x14ac:dyDescent="0.25">
      <c r="A183" s="9" t="s">
        <v>358</v>
      </c>
      <c r="B183" s="9" t="s">
        <v>359</v>
      </c>
      <c r="C183" s="9" t="s">
        <v>367</v>
      </c>
      <c r="D183" s="9">
        <v>300</v>
      </c>
      <c r="E183" s="9">
        <v>3000</v>
      </c>
      <c r="F183" s="12">
        <v>834</v>
      </c>
      <c r="G183" s="12">
        <v>834</v>
      </c>
      <c r="H183" s="9"/>
      <c r="I183" s="9"/>
      <c r="J183" s="12">
        <v>650</v>
      </c>
      <c r="K183" s="12">
        <v>650</v>
      </c>
      <c r="L183" s="18"/>
      <c r="M183" s="18"/>
      <c r="N183" s="9"/>
      <c r="O183" s="9">
        <v>990</v>
      </c>
      <c r="P183" s="9">
        <v>277</v>
      </c>
      <c r="Q183" s="9">
        <v>772</v>
      </c>
      <c r="R183" s="9">
        <v>633</v>
      </c>
      <c r="S183" s="9">
        <v>277</v>
      </c>
      <c r="T183" s="9">
        <v>660</v>
      </c>
      <c r="U183" s="9">
        <v>57</v>
      </c>
      <c r="V183" s="9">
        <v>3600</v>
      </c>
      <c r="W183" s="9">
        <v>2100</v>
      </c>
      <c r="X183" s="9">
        <v>200</v>
      </c>
      <c r="Y183" s="9">
        <v>125</v>
      </c>
      <c r="Z183" s="9"/>
      <c r="AA183" s="9" t="s">
        <v>361</v>
      </c>
    </row>
    <row r="184" spans="1:27" x14ac:dyDescent="0.25">
      <c r="A184" s="9" t="s">
        <v>358</v>
      </c>
      <c r="B184" s="9" t="s">
        <v>359</v>
      </c>
      <c r="C184" s="9" t="s">
        <v>368</v>
      </c>
      <c r="D184" s="9">
        <v>400</v>
      </c>
      <c r="E184" s="9">
        <v>4000</v>
      </c>
      <c r="F184" s="12">
        <v>910</v>
      </c>
      <c r="G184" s="12">
        <v>910</v>
      </c>
      <c r="H184" s="9"/>
      <c r="I184" s="9"/>
      <c r="J184" s="12">
        <v>709</v>
      </c>
      <c r="K184" s="12">
        <v>709</v>
      </c>
      <c r="L184" s="18"/>
      <c r="M184" s="18"/>
      <c r="N184" s="9"/>
      <c r="O184" s="9">
        <v>1170</v>
      </c>
      <c r="P184" s="9">
        <v>327</v>
      </c>
      <c r="Q184" s="9">
        <v>912</v>
      </c>
      <c r="R184" s="9">
        <v>763</v>
      </c>
      <c r="S184" s="9">
        <v>327</v>
      </c>
      <c r="T184" s="9">
        <v>880</v>
      </c>
      <c r="U184" s="9">
        <v>65</v>
      </c>
      <c r="V184" s="9">
        <v>4800</v>
      </c>
      <c r="W184" s="9">
        <v>2800</v>
      </c>
      <c r="X184" s="9">
        <v>200</v>
      </c>
      <c r="Y184" s="9">
        <v>125</v>
      </c>
      <c r="Z184" s="9"/>
      <c r="AA184" s="9" t="s">
        <v>361</v>
      </c>
    </row>
    <row r="185" spans="1:27" x14ac:dyDescent="0.25">
      <c r="A185" s="9" t="s">
        <v>358</v>
      </c>
      <c r="B185" s="9" t="s">
        <v>359</v>
      </c>
      <c r="C185" s="9" t="s">
        <v>369</v>
      </c>
      <c r="D185" s="9">
        <v>500</v>
      </c>
      <c r="E185" s="9">
        <v>5000</v>
      </c>
      <c r="F185" s="12">
        <v>976</v>
      </c>
      <c r="G185" s="12">
        <v>976</v>
      </c>
      <c r="H185" s="9"/>
      <c r="I185" s="9"/>
      <c r="J185" s="12">
        <v>761</v>
      </c>
      <c r="K185" s="12">
        <v>761</v>
      </c>
      <c r="L185" s="18"/>
      <c r="M185" s="18"/>
      <c r="N185" s="9"/>
      <c r="O185" s="9">
        <v>1350</v>
      </c>
      <c r="P185" s="9">
        <v>378</v>
      </c>
      <c r="Q185" s="9">
        <v>1053</v>
      </c>
      <c r="R185" s="9">
        <v>892</v>
      </c>
      <c r="S185" s="9">
        <v>378</v>
      </c>
      <c r="T185" s="9">
        <v>1100</v>
      </c>
      <c r="U185" s="9">
        <v>73</v>
      </c>
      <c r="V185" s="9">
        <v>6000</v>
      </c>
      <c r="W185" s="9">
        <v>3500</v>
      </c>
      <c r="X185" s="9">
        <v>250</v>
      </c>
      <c r="Y185" s="9">
        <v>160</v>
      </c>
      <c r="Z185" s="9"/>
      <c r="AA185" s="9" t="s">
        <v>361</v>
      </c>
    </row>
    <row r="186" spans="1:27" x14ac:dyDescent="0.25">
      <c r="A186" s="9" t="s">
        <v>358</v>
      </c>
      <c r="B186" s="9" t="s">
        <v>359</v>
      </c>
      <c r="C186" s="9" t="s">
        <v>370</v>
      </c>
      <c r="D186" s="9">
        <v>650</v>
      </c>
      <c r="E186" s="9">
        <v>6500</v>
      </c>
      <c r="F186" s="12">
        <v>1063</v>
      </c>
      <c r="G186" s="12">
        <v>1063</v>
      </c>
      <c r="H186" s="9"/>
      <c r="I186" s="9"/>
      <c r="J186" s="12">
        <v>829</v>
      </c>
      <c r="K186" s="12">
        <v>829</v>
      </c>
      <c r="L186" s="18"/>
      <c r="M186" s="18"/>
      <c r="N186" s="9"/>
      <c r="O186" s="9">
        <v>1620</v>
      </c>
      <c r="P186" s="9">
        <v>453</v>
      </c>
      <c r="Q186" s="9">
        <v>1263</v>
      </c>
      <c r="R186" s="9">
        <v>1087</v>
      </c>
      <c r="S186" s="9">
        <v>453</v>
      </c>
      <c r="T186" s="9">
        <v>1430</v>
      </c>
      <c r="U186" s="9">
        <v>83</v>
      </c>
      <c r="V186" s="9">
        <v>7800</v>
      </c>
      <c r="W186" s="9">
        <v>4550</v>
      </c>
      <c r="X186" s="9">
        <v>250</v>
      </c>
      <c r="Y186" s="9">
        <v>160</v>
      </c>
      <c r="Z186" s="9"/>
      <c r="AA186" s="9" t="s">
        <v>361</v>
      </c>
    </row>
    <row r="187" spans="1:27" x14ac:dyDescent="0.25">
      <c r="A187" s="9" t="s">
        <v>371</v>
      </c>
      <c r="B187" s="9" t="s">
        <v>359</v>
      </c>
      <c r="C187" s="9" t="s">
        <v>372</v>
      </c>
      <c r="D187" s="9">
        <v>120</v>
      </c>
      <c r="E187" s="9">
        <v>1200</v>
      </c>
      <c r="F187" s="12">
        <v>656</v>
      </c>
      <c r="G187" s="12">
        <v>656</v>
      </c>
      <c r="H187" s="9"/>
      <c r="I187" s="9"/>
      <c r="J187" s="12">
        <v>511</v>
      </c>
      <c r="K187" s="12">
        <v>511</v>
      </c>
      <c r="L187" s="18"/>
      <c r="M187" s="18"/>
      <c r="N187" s="9"/>
      <c r="O187" s="9">
        <v>666</v>
      </c>
      <c r="P187" s="9">
        <v>186</v>
      </c>
      <c r="Q187" s="9">
        <v>519</v>
      </c>
      <c r="R187" s="9">
        <v>400</v>
      </c>
      <c r="S187" s="9">
        <v>186</v>
      </c>
      <c r="T187" s="9">
        <v>264</v>
      </c>
      <c r="U187" s="9">
        <v>36</v>
      </c>
      <c r="V187" s="9">
        <v>1440</v>
      </c>
      <c r="W187" s="9">
        <v>840</v>
      </c>
      <c r="X187" s="9">
        <v>150</v>
      </c>
      <c r="Y187" s="9">
        <v>100</v>
      </c>
      <c r="Z187" s="9"/>
      <c r="AA187" s="9" t="s">
        <v>361</v>
      </c>
    </row>
    <row r="188" spans="1:27" x14ac:dyDescent="0.25">
      <c r="A188" s="9" t="s">
        <v>371</v>
      </c>
      <c r="B188" s="9" t="s">
        <v>359</v>
      </c>
      <c r="C188" s="9" t="s">
        <v>373</v>
      </c>
      <c r="D188" s="9">
        <v>180</v>
      </c>
      <c r="E188" s="9">
        <v>1800</v>
      </c>
      <c r="F188" s="12">
        <v>725</v>
      </c>
      <c r="G188" s="12">
        <v>725</v>
      </c>
      <c r="H188" s="9"/>
      <c r="I188" s="9"/>
      <c r="J188" s="12">
        <v>565</v>
      </c>
      <c r="K188" s="12">
        <v>565</v>
      </c>
      <c r="L188" s="18"/>
      <c r="M188" s="18"/>
      <c r="N188" s="9"/>
      <c r="O188" s="9">
        <v>774</v>
      </c>
      <c r="P188" s="9">
        <v>216</v>
      </c>
      <c r="Q188" s="9">
        <v>603</v>
      </c>
      <c r="R188" s="9">
        <v>478</v>
      </c>
      <c r="S188" s="9">
        <v>216</v>
      </c>
      <c r="T188" s="9">
        <v>396</v>
      </c>
      <c r="U188" s="9">
        <v>44</v>
      </c>
      <c r="V188" s="9">
        <v>2160</v>
      </c>
      <c r="W188" s="9">
        <v>1260</v>
      </c>
      <c r="X188" s="9">
        <v>150</v>
      </c>
      <c r="Y188" s="9">
        <v>100</v>
      </c>
      <c r="Z188" s="9"/>
      <c r="AA188" s="9" t="s">
        <v>361</v>
      </c>
    </row>
    <row r="189" spans="1:27" x14ac:dyDescent="0.25">
      <c r="A189" s="9" t="s">
        <v>371</v>
      </c>
      <c r="B189" s="9" t="s">
        <v>359</v>
      </c>
      <c r="C189" s="9" t="s">
        <v>374</v>
      </c>
      <c r="D189" s="9">
        <v>250</v>
      </c>
      <c r="E189" s="9">
        <v>2500</v>
      </c>
      <c r="F189" s="12">
        <v>792</v>
      </c>
      <c r="G189" s="12">
        <v>792</v>
      </c>
      <c r="H189" s="9"/>
      <c r="I189" s="9"/>
      <c r="J189" s="12">
        <v>617</v>
      </c>
      <c r="K189" s="12">
        <v>617</v>
      </c>
      <c r="L189" s="18"/>
      <c r="M189" s="18"/>
      <c r="N189" s="9"/>
      <c r="O189" s="9">
        <v>900</v>
      </c>
      <c r="P189" s="9">
        <v>252</v>
      </c>
      <c r="Q189" s="9">
        <v>702</v>
      </c>
      <c r="R189" s="9">
        <v>568</v>
      </c>
      <c r="S189" s="9">
        <v>252</v>
      </c>
      <c r="T189" s="9">
        <v>550</v>
      </c>
      <c r="U189" s="9">
        <v>52</v>
      </c>
      <c r="V189" s="9">
        <v>3000</v>
      </c>
      <c r="W189" s="9">
        <v>1750</v>
      </c>
      <c r="X189" s="9">
        <v>200</v>
      </c>
      <c r="Y189" s="9">
        <v>125</v>
      </c>
      <c r="Z189" s="9"/>
      <c r="AA189" s="9" t="s">
        <v>361</v>
      </c>
    </row>
    <row r="190" spans="1:27" x14ac:dyDescent="0.25">
      <c r="A190" s="9" t="s">
        <v>371</v>
      </c>
      <c r="B190" s="9" t="s">
        <v>359</v>
      </c>
      <c r="C190" s="9" t="s">
        <v>375</v>
      </c>
      <c r="D190" s="9">
        <v>300</v>
      </c>
      <c r="E190" s="9">
        <v>3000</v>
      </c>
      <c r="F190" s="12">
        <v>834</v>
      </c>
      <c r="G190" s="12">
        <v>834</v>
      </c>
      <c r="H190" s="9"/>
      <c r="I190" s="9"/>
      <c r="J190" s="12">
        <v>650</v>
      </c>
      <c r="K190" s="12">
        <v>650</v>
      </c>
      <c r="L190" s="18"/>
      <c r="M190" s="18"/>
      <c r="N190" s="9"/>
      <c r="O190" s="9">
        <v>990</v>
      </c>
      <c r="P190" s="9">
        <v>277</v>
      </c>
      <c r="Q190" s="9">
        <v>772</v>
      </c>
      <c r="R190" s="9">
        <v>633</v>
      </c>
      <c r="S190" s="9">
        <v>277</v>
      </c>
      <c r="T190" s="9">
        <v>660</v>
      </c>
      <c r="U190" s="9">
        <v>57</v>
      </c>
      <c r="V190" s="9">
        <v>3600</v>
      </c>
      <c r="W190" s="9">
        <v>2100</v>
      </c>
      <c r="X190" s="9">
        <v>200</v>
      </c>
      <c r="Y190" s="9">
        <v>125</v>
      </c>
      <c r="Z190" s="9"/>
      <c r="AA190" s="9" t="s">
        <v>361</v>
      </c>
    </row>
    <row r="191" spans="1:27" x14ac:dyDescent="0.25">
      <c r="A191" s="9" t="s">
        <v>371</v>
      </c>
      <c r="B191" s="9" t="s">
        <v>359</v>
      </c>
      <c r="C191" s="9" t="s">
        <v>376</v>
      </c>
      <c r="D191" s="9">
        <v>400</v>
      </c>
      <c r="E191" s="9">
        <v>4000</v>
      </c>
      <c r="F191" s="12">
        <v>910</v>
      </c>
      <c r="G191" s="12">
        <v>910</v>
      </c>
      <c r="H191" s="9"/>
      <c r="I191" s="9"/>
      <c r="J191" s="12">
        <v>709</v>
      </c>
      <c r="K191" s="12">
        <v>709</v>
      </c>
      <c r="L191" s="18"/>
      <c r="M191" s="18"/>
      <c r="N191" s="9"/>
      <c r="O191" s="9">
        <v>1170</v>
      </c>
      <c r="P191" s="9">
        <v>327</v>
      </c>
      <c r="Q191" s="9">
        <v>912</v>
      </c>
      <c r="R191" s="9">
        <v>763</v>
      </c>
      <c r="S191" s="9">
        <v>327</v>
      </c>
      <c r="T191" s="9">
        <v>880</v>
      </c>
      <c r="U191" s="9">
        <v>65</v>
      </c>
      <c r="V191" s="9">
        <v>4800</v>
      </c>
      <c r="W191" s="9">
        <v>2800</v>
      </c>
      <c r="X191" s="9">
        <v>200</v>
      </c>
      <c r="Y191" s="9">
        <v>125</v>
      </c>
      <c r="Z191" s="9"/>
      <c r="AA191" s="9" t="s">
        <v>361</v>
      </c>
    </row>
    <row r="192" spans="1:27" x14ac:dyDescent="0.25">
      <c r="A192" s="9" t="s">
        <v>371</v>
      </c>
      <c r="B192" s="9" t="s">
        <v>359</v>
      </c>
      <c r="C192" s="9" t="s">
        <v>377</v>
      </c>
      <c r="D192" s="9">
        <v>500</v>
      </c>
      <c r="E192" s="9">
        <v>5000</v>
      </c>
      <c r="F192" s="12">
        <v>976</v>
      </c>
      <c r="G192" s="12">
        <v>976</v>
      </c>
      <c r="H192" s="9"/>
      <c r="I192" s="9"/>
      <c r="J192" s="12">
        <v>761</v>
      </c>
      <c r="K192" s="12">
        <v>761</v>
      </c>
      <c r="L192" s="18"/>
      <c r="M192" s="18"/>
      <c r="N192" s="9"/>
      <c r="O192" s="9">
        <v>1350</v>
      </c>
      <c r="P192" s="9">
        <v>378</v>
      </c>
      <c r="Q192" s="9">
        <v>1053</v>
      </c>
      <c r="R192" s="9">
        <v>892</v>
      </c>
      <c r="S192" s="9">
        <v>378</v>
      </c>
      <c r="T192" s="9">
        <v>1100</v>
      </c>
      <c r="U192" s="9">
        <v>73</v>
      </c>
      <c r="V192" s="9">
        <v>6000</v>
      </c>
      <c r="W192" s="9">
        <v>3500</v>
      </c>
      <c r="X192" s="9">
        <v>250</v>
      </c>
      <c r="Y192" s="9">
        <v>160</v>
      </c>
      <c r="Z192" s="9"/>
      <c r="AA192" s="9" t="s">
        <v>361</v>
      </c>
    </row>
    <row r="193" spans="1:27" x14ac:dyDescent="0.25">
      <c r="A193" s="9" t="s">
        <v>371</v>
      </c>
      <c r="B193" s="9" t="s">
        <v>359</v>
      </c>
      <c r="C193" s="9" t="s">
        <v>378</v>
      </c>
      <c r="D193" s="9">
        <v>650</v>
      </c>
      <c r="E193" s="9">
        <v>6500</v>
      </c>
      <c r="F193" s="12">
        <v>1063</v>
      </c>
      <c r="G193" s="12">
        <v>1063</v>
      </c>
      <c r="H193" s="9"/>
      <c r="I193" s="9"/>
      <c r="J193" s="12">
        <v>829</v>
      </c>
      <c r="K193" s="12">
        <v>829</v>
      </c>
      <c r="L193" s="18"/>
      <c r="M193" s="18"/>
      <c r="N193" s="9"/>
      <c r="O193" s="9">
        <v>1620</v>
      </c>
      <c r="P193" s="9">
        <v>453</v>
      </c>
      <c r="Q193" s="9">
        <v>1263</v>
      </c>
      <c r="R193" s="9">
        <v>1087</v>
      </c>
      <c r="S193" s="9">
        <v>453</v>
      </c>
      <c r="T193" s="9">
        <v>1430</v>
      </c>
      <c r="U193" s="9">
        <v>83</v>
      </c>
      <c r="V193" s="9">
        <v>7800</v>
      </c>
      <c r="W193" s="9">
        <v>4550</v>
      </c>
      <c r="X193" s="9">
        <v>250</v>
      </c>
      <c r="Y193" s="9">
        <v>160</v>
      </c>
      <c r="Z193" s="9"/>
      <c r="AA193" s="9" t="s">
        <v>361</v>
      </c>
    </row>
    <row r="194" spans="1:27" x14ac:dyDescent="0.25">
      <c r="A194" s="9" t="s">
        <v>371</v>
      </c>
      <c r="B194" s="9" t="s">
        <v>359</v>
      </c>
      <c r="C194" s="9" t="s">
        <v>379</v>
      </c>
      <c r="D194" s="9">
        <v>800</v>
      </c>
      <c r="E194" s="9">
        <v>8000</v>
      </c>
      <c r="F194" s="12">
        <v>1141</v>
      </c>
      <c r="G194" s="12">
        <v>1141</v>
      </c>
      <c r="H194" s="9"/>
      <c r="I194" s="9"/>
      <c r="J194" s="12">
        <v>889</v>
      </c>
      <c r="K194" s="12">
        <v>889</v>
      </c>
      <c r="L194" s="18"/>
      <c r="M194" s="18"/>
      <c r="N194" s="9"/>
      <c r="O194" s="9">
        <v>1890</v>
      </c>
      <c r="P194" s="9">
        <v>529</v>
      </c>
      <c r="Q194" s="9">
        <v>1474</v>
      </c>
      <c r="R194" s="9">
        <v>1281</v>
      </c>
      <c r="S194" s="9">
        <v>529</v>
      </c>
      <c r="T194" s="9">
        <v>1760</v>
      </c>
      <c r="U194" s="9">
        <v>90</v>
      </c>
      <c r="V194" s="9">
        <v>9600</v>
      </c>
      <c r="W194" s="9">
        <v>5600</v>
      </c>
      <c r="X194" s="9">
        <v>250</v>
      </c>
      <c r="Y194" s="9">
        <v>160</v>
      </c>
      <c r="Z194" s="9"/>
      <c r="AA194" s="9" t="s">
        <v>361</v>
      </c>
    </row>
    <row r="195" spans="1:27" x14ac:dyDescent="0.25">
      <c r="A195" s="9" t="s">
        <v>371</v>
      </c>
      <c r="B195" s="9" t="s">
        <v>359</v>
      </c>
      <c r="C195" s="9" t="s">
        <v>380</v>
      </c>
      <c r="D195" s="9">
        <v>1000</v>
      </c>
      <c r="E195" s="9">
        <v>10000</v>
      </c>
      <c r="F195" s="12">
        <v>1235</v>
      </c>
      <c r="G195" s="12">
        <v>1235</v>
      </c>
      <c r="H195" s="9"/>
      <c r="I195" s="9"/>
      <c r="J195" s="12">
        <v>963</v>
      </c>
      <c r="K195" s="12">
        <v>963</v>
      </c>
      <c r="L195" s="18"/>
      <c r="M195" s="18"/>
      <c r="N195" s="9"/>
      <c r="O195" s="9">
        <v>2250</v>
      </c>
      <c r="P195" s="9">
        <v>630</v>
      </c>
      <c r="Q195" s="9">
        <v>1755</v>
      </c>
      <c r="R195" s="9">
        <v>1540</v>
      </c>
      <c r="S195" s="9">
        <v>630</v>
      </c>
      <c r="T195" s="9">
        <v>2200</v>
      </c>
      <c r="U195" s="9">
        <v>90</v>
      </c>
      <c r="V195" s="9">
        <v>12000</v>
      </c>
      <c r="W195" s="9">
        <v>7000</v>
      </c>
      <c r="X195" s="9">
        <v>250</v>
      </c>
      <c r="Y195" s="9">
        <v>160</v>
      </c>
      <c r="Z195" s="9"/>
      <c r="AA195" s="9" t="s">
        <v>361</v>
      </c>
    </row>
    <row r="196" spans="1:27" x14ac:dyDescent="0.25">
      <c r="A196" s="9" t="s">
        <v>371</v>
      </c>
      <c r="B196" s="9" t="s">
        <v>359</v>
      </c>
      <c r="C196" s="9" t="s">
        <v>381</v>
      </c>
      <c r="D196" s="9">
        <v>1200</v>
      </c>
      <c r="E196" s="9">
        <v>12000</v>
      </c>
      <c r="F196" s="12">
        <v>1319</v>
      </c>
      <c r="G196" s="12">
        <v>1319</v>
      </c>
      <c r="H196" s="9"/>
      <c r="I196" s="9"/>
      <c r="J196" s="12">
        <v>1028</v>
      </c>
      <c r="K196" s="12">
        <v>1028</v>
      </c>
      <c r="L196" s="18"/>
      <c r="M196" s="18"/>
      <c r="N196" s="9"/>
      <c r="O196" s="9">
        <v>2610</v>
      </c>
      <c r="P196" s="9">
        <v>730</v>
      </c>
      <c r="Q196" s="9">
        <v>2035</v>
      </c>
      <c r="R196" s="9">
        <v>1800</v>
      </c>
      <c r="S196" s="9">
        <v>730</v>
      </c>
      <c r="T196" s="9">
        <v>2640</v>
      </c>
      <c r="U196" s="9">
        <v>90</v>
      </c>
      <c r="V196" s="9">
        <v>14400</v>
      </c>
      <c r="W196" s="9">
        <v>8400</v>
      </c>
      <c r="X196" s="9">
        <v>250</v>
      </c>
      <c r="Y196" s="9">
        <v>160</v>
      </c>
      <c r="Z196" s="9"/>
      <c r="AA196" s="9" t="s">
        <v>361</v>
      </c>
    </row>
    <row r="197" spans="1:27" x14ac:dyDescent="0.25">
      <c r="A197" s="9" t="s">
        <v>382</v>
      </c>
      <c r="B197" s="9" t="s">
        <v>359</v>
      </c>
      <c r="C197" s="9" t="s">
        <v>383</v>
      </c>
      <c r="D197" s="9">
        <v>15</v>
      </c>
      <c r="E197" s="9">
        <v>150</v>
      </c>
      <c r="F197" s="12">
        <v>458</v>
      </c>
      <c r="G197" s="12">
        <v>458</v>
      </c>
      <c r="H197" s="9"/>
      <c r="I197" s="9"/>
      <c r="J197" s="12">
        <v>357</v>
      </c>
      <c r="K197" s="12">
        <v>357</v>
      </c>
      <c r="L197" s="18"/>
      <c r="M197" s="18"/>
      <c r="N197" s="9"/>
      <c r="O197" s="9">
        <v>477</v>
      </c>
      <c r="P197" s="9">
        <v>150</v>
      </c>
      <c r="Q197" s="9">
        <v>372</v>
      </c>
      <c r="R197" s="9">
        <v>247</v>
      </c>
      <c r="S197" s="9">
        <v>150</v>
      </c>
      <c r="T197" s="9">
        <v>33</v>
      </c>
      <c r="U197" s="9">
        <v>18</v>
      </c>
      <c r="V197" s="9">
        <v>180</v>
      </c>
      <c r="W197" s="9">
        <v>105</v>
      </c>
      <c r="X197" s="9">
        <v>150</v>
      </c>
      <c r="Y197" s="9">
        <v>100</v>
      </c>
      <c r="Z197" s="9"/>
      <c r="AA197" s="9" t="s">
        <v>361</v>
      </c>
    </row>
    <row r="198" spans="1:27" x14ac:dyDescent="0.25">
      <c r="A198" s="9" t="s">
        <v>382</v>
      </c>
      <c r="B198" s="9" t="s">
        <v>359</v>
      </c>
      <c r="C198" s="9" t="s">
        <v>384</v>
      </c>
      <c r="D198" s="9">
        <v>30</v>
      </c>
      <c r="E198" s="9">
        <v>300</v>
      </c>
      <c r="F198" s="12">
        <v>503</v>
      </c>
      <c r="G198" s="12">
        <v>503</v>
      </c>
      <c r="H198" s="9"/>
      <c r="I198" s="9"/>
      <c r="J198" s="12">
        <v>392</v>
      </c>
      <c r="K198" s="12">
        <v>392</v>
      </c>
      <c r="L198" s="18"/>
      <c r="M198" s="18"/>
      <c r="N198" s="9"/>
      <c r="O198" s="9">
        <v>504</v>
      </c>
      <c r="P198" s="9">
        <v>150</v>
      </c>
      <c r="Q198" s="9">
        <v>393</v>
      </c>
      <c r="R198" s="9">
        <v>274</v>
      </c>
      <c r="S198" s="9">
        <v>150</v>
      </c>
      <c r="T198" s="9">
        <v>66</v>
      </c>
      <c r="U198" s="9">
        <v>18</v>
      </c>
      <c r="V198" s="9">
        <v>360</v>
      </c>
      <c r="W198" s="9">
        <v>210</v>
      </c>
      <c r="X198" s="9">
        <v>150</v>
      </c>
      <c r="Y198" s="9">
        <v>100</v>
      </c>
      <c r="Z198" s="9"/>
      <c r="AA198" s="9" t="s">
        <v>361</v>
      </c>
    </row>
    <row r="199" spans="1:27" x14ac:dyDescent="0.25">
      <c r="A199" s="9" t="s">
        <v>382</v>
      </c>
      <c r="B199" s="9" t="s">
        <v>359</v>
      </c>
      <c r="C199" s="9" t="s">
        <v>385</v>
      </c>
      <c r="D199" s="9">
        <v>50</v>
      </c>
      <c r="E199" s="9">
        <v>500</v>
      </c>
      <c r="F199" s="12">
        <v>547</v>
      </c>
      <c r="G199" s="12">
        <v>547</v>
      </c>
      <c r="H199" s="9"/>
      <c r="I199" s="9"/>
      <c r="J199" s="12">
        <v>426</v>
      </c>
      <c r="K199" s="12">
        <v>426</v>
      </c>
      <c r="L199" s="18"/>
      <c r="M199" s="18"/>
      <c r="N199" s="9"/>
      <c r="O199" s="9">
        <v>540</v>
      </c>
      <c r="P199" s="9">
        <v>151</v>
      </c>
      <c r="Q199" s="9">
        <v>421</v>
      </c>
      <c r="R199" s="9">
        <v>309</v>
      </c>
      <c r="S199" s="9">
        <v>151</v>
      </c>
      <c r="T199" s="9">
        <v>110</v>
      </c>
      <c r="U199" s="9">
        <v>23</v>
      </c>
      <c r="V199" s="9">
        <v>600</v>
      </c>
      <c r="W199" s="9">
        <v>350</v>
      </c>
      <c r="X199" s="9">
        <v>150</v>
      </c>
      <c r="Y199" s="9">
        <v>100</v>
      </c>
      <c r="Z199" s="9"/>
      <c r="AA199" s="9" t="s">
        <v>361</v>
      </c>
    </row>
    <row r="200" spans="1:27" x14ac:dyDescent="0.25">
      <c r="A200" s="9" t="s">
        <v>382</v>
      </c>
      <c r="B200" s="9" t="s">
        <v>359</v>
      </c>
      <c r="C200" s="9" t="s">
        <v>386</v>
      </c>
      <c r="D200" s="9">
        <v>100</v>
      </c>
      <c r="E200" s="9">
        <v>1000</v>
      </c>
      <c r="F200" s="12">
        <v>630</v>
      </c>
      <c r="G200" s="12">
        <v>630</v>
      </c>
      <c r="H200" s="9"/>
      <c r="I200" s="9"/>
      <c r="J200" s="12">
        <v>491</v>
      </c>
      <c r="K200" s="12">
        <v>491</v>
      </c>
      <c r="L200" s="18"/>
      <c r="M200" s="18"/>
      <c r="N200" s="9"/>
      <c r="O200" s="9">
        <v>630</v>
      </c>
      <c r="P200" s="9">
        <v>176</v>
      </c>
      <c r="Q200" s="9">
        <v>491</v>
      </c>
      <c r="R200" s="9">
        <v>374</v>
      </c>
      <c r="S200" s="9">
        <v>176</v>
      </c>
      <c r="T200" s="9">
        <v>220</v>
      </c>
      <c r="U200" s="9">
        <v>33</v>
      </c>
      <c r="V200" s="9">
        <v>1200</v>
      </c>
      <c r="W200" s="9">
        <v>700</v>
      </c>
      <c r="X200" s="9">
        <v>150</v>
      </c>
      <c r="Y200" s="9">
        <v>100</v>
      </c>
      <c r="Z200" s="9"/>
      <c r="AA200" s="9" t="s">
        <v>361</v>
      </c>
    </row>
    <row r="201" spans="1:27" x14ac:dyDescent="0.25">
      <c r="A201" s="9" t="s">
        <v>382</v>
      </c>
      <c r="B201" s="9" t="s">
        <v>359</v>
      </c>
      <c r="C201" s="9" t="s">
        <v>387</v>
      </c>
      <c r="D201" s="9">
        <v>130</v>
      </c>
      <c r="E201" s="9">
        <v>1300</v>
      </c>
      <c r="F201" s="12">
        <v>669</v>
      </c>
      <c r="G201" s="12">
        <v>669</v>
      </c>
      <c r="H201" s="9"/>
      <c r="I201" s="9"/>
      <c r="J201" s="12">
        <v>521</v>
      </c>
      <c r="K201" s="12">
        <v>521</v>
      </c>
      <c r="L201" s="18"/>
      <c r="M201" s="18"/>
      <c r="N201" s="9"/>
      <c r="O201" s="9">
        <v>684</v>
      </c>
      <c r="P201" s="9">
        <v>191</v>
      </c>
      <c r="Q201" s="9">
        <v>533</v>
      </c>
      <c r="R201" s="9">
        <v>413</v>
      </c>
      <c r="S201" s="9">
        <v>191</v>
      </c>
      <c r="T201" s="9">
        <v>286</v>
      </c>
      <c r="U201" s="9">
        <v>37</v>
      </c>
      <c r="V201" s="9">
        <v>1560</v>
      </c>
      <c r="W201" s="9">
        <v>910</v>
      </c>
      <c r="X201" s="9">
        <v>150</v>
      </c>
      <c r="Y201" s="9">
        <v>100</v>
      </c>
      <c r="Z201" s="9"/>
      <c r="AA201" s="9" t="s">
        <v>361</v>
      </c>
    </row>
    <row r="202" spans="1:27" x14ac:dyDescent="0.25">
      <c r="A202" s="9" t="s">
        <v>382</v>
      </c>
      <c r="B202" s="9" t="s">
        <v>359</v>
      </c>
      <c r="C202" s="9" t="s">
        <v>388</v>
      </c>
      <c r="D202" s="9">
        <v>150</v>
      </c>
      <c r="E202" s="9">
        <v>1500</v>
      </c>
      <c r="F202" s="12">
        <v>692</v>
      </c>
      <c r="G202" s="12">
        <v>692</v>
      </c>
      <c r="H202" s="9"/>
      <c r="I202" s="9"/>
      <c r="J202" s="12">
        <v>539</v>
      </c>
      <c r="K202" s="12">
        <v>539</v>
      </c>
      <c r="L202" s="18"/>
      <c r="M202" s="18"/>
      <c r="N202" s="9"/>
      <c r="O202" s="9">
        <v>720</v>
      </c>
      <c r="P202" s="9">
        <v>201</v>
      </c>
      <c r="Q202" s="9">
        <v>561</v>
      </c>
      <c r="R202" s="9">
        <v>439</v>
      </c>
      <c r="S202" s="9">
        <v>201</v>
      </c>
      <c r="T202" s="9">
        <v>330</v>
      </c>
      <c r="U202" s="9">
        <v>40</v>
      </c>
      <c r="V202" s="9">
        <v>1800</v>
      </c>
      <c r="W202" s="9">
        <v>1050</v>
      </c>
      <c r="X202" s="9">
        <v>150</v>
      </c>
      <c r="Y202" s="9">
        <v>100</v>
      </c>
      <c r="Z202" s="9"/>
      <c r="AA202" s="9" t="s">
        <v>361</v>
      </c>
    </row>
    <row r="203" spans="1:27" x14ac:dyDescent="0.25">
      <c r="A203" s="9" t="s">
        <v>382</v>
      </c>
      <c r="B203" s="9" t="s">
        <v>359</v>
      </c>
      <c r="C203" s="9" t="s">
        <v>389</v>
      </c>
      <c r="D203" s="9">
        <v>220</v>
      </c>
      <c r="E203" s="9">
        <v>2200</v>
      </c>
      <c r="F203" s="12">
        <v>765</v>
      </c>
      <c r="G203" s="12">
        <v>765</v>
      </c>
      <c r="H203" s="9"/>
      <c r="I203" s="9"/>
      <c r="J203" s="12">
        <v>596</v>
      </c>
      <c r="K203" s="12">
        <v>596</v>
      </c>
      <c r="L203" s="18"/>
      <c r="M203" s="18"/>
      <c r="N203" s="9"/>
      <c r="O203" s="9">
        <v>846</v>
      </c>
      <c r="P203" s="9">
        <v>236</v>
      </c>
      <c r="Q203" s="9">
        <v>659</v>
      </c>
      <c r="R203" s="9">
        <v>530</v>
      </c>
      <c r="S203" s="9">
        <v>236</v>
      </c>
      <c r="T203" s="9">
        <v>484</v>
      </c>
      <c r="U203" s="9">
        <v>48</v>
      </c>
      <c r="V203" s="9">
        <v>2640</v>
      </c>
      <c r="W203" s="9">
        <v>1540</v>
      </c>
      <c r="X203" s="9">
        <v>200</v>
      </c>
      <c r="Y203" s="9">
        <v>125</v>
      </c>
      <c r="Z203" s="9"/>
      <c r="AA203" s="9" t="s">
        <v>361</v>
      </c>
    </row>
    <row r="204" spans="1:27" x14ac:dyDescent="0.25">
      <c r="A204" s="9" t="s">
        <v>382</v>
      </c>
      <c r="B204" s="9" t="s">
        <v>359</v>
      </c>
      <c r="C204" s="9" t="s">
        <v>390</v>
      </c>
      <c r="D204" s="9">
        <v>300</v>
      </c>
      <c r="E204" s="9">
        <v>3000</v>
      </c>
      <c r="F204" s="12">
        <v>834</v>
      </c>
      <c r="G204" s="12">
        <v>834</v>
      </c>
      <c r="H204" s="9"/>
      <c r="I204" s="9"/>
      <c r="J204" s="12">
        <v>650</v>
      </c>
      <c r="K204" s="12">
        <v>650</v>
      </c>
      <c r="L204" s="18"/>
      <c r="M204" s="18"/>
      <c r="N204" s="9"/>
      <c r="O204" s="9">
        <v>990</v>
      </c>
      <c r="P204" s="9">
        <v>277</v>
      </c>
      <c r="Q204" s="9">
        <v>772</v>
      </c>
      <c r="R204" s="9">
        <v>633</v>
      </c>
      <c r="S204" s="9">
        <v>277</v>
      </c>
      <c r="T204" s="9">
        <v>660</v>
      </c>
      <c r="U204" s="9">
        <v>57</v>
      </c>
      <c r="V204" s="9">
        <v>3600</v>
      </c>
      <c r="W204" s="9">
        <v>2100</v>
      </c>
      <c r="X204" s="9">
        <v>200</v>
      </c>
      <c r="Y204" s="9">
        <v>125</v>
      </c>
      <c r="Z204" s="9"/>
      <c r="AA204" s="9" t="s">
        <v>361</v>
      </c>
    </row>
    <row r="205" spans="1:27" x14ac:dyDescent="0.25">
      <c r="A205" s="9" t="s">
        <v>382</v>
      </c>
      <c r="B205" s="9" t="s">
        <v>359</v>
      </c>
      <c r="C205" s="9" t="s">
        <v>391</v>
      </c>
      <c r="D205" s="9">
        <v>450</v>
      </c>
      <c r="E205" s="9">
        <v>4500</v>
      </c>
      <c r="F205" s="12">
        <v>943</v>
      </c>
      <c r="G205" s="12">
        <v>943</v>
      </c>
      <c r="H205" s="9"/>
      <c r="I205" s="9"/>
      <c r="J205" s="12">
        <v>735</v>
      </c>
      <c r="K205" s="12">
        <v>735</v>
      </c>
      <c r="L205" s="18"/>
      <c r="M205" s="18"/>
      <c r="N205" s="9"/>
      <c r="O205" s="9">
        <v>1260</v>
      </c>
      <c r="P205" s="9">
        <v>352</v>
      </c>
      <c r="Q205" s="9">
        <v>982</v>
      </c>
      <c r="R205" s="9">
        <v>828</v>
      </c>
      <c r="S205" s="9">
        <v>352</v>
      </c>
      <c r="T205" s="9">
        <v>990</v>
      </c>
      <c r="U205" s="9">
        <v>69</v>
      </c>
      <c r="V205" s="9">
        <v>5400</v>
      </c>
      <c r="W205" s="9">
        <v>3150</v>
      </c>
      <c r="X205" s="9">
        <v>200</v>
      </c>
      <c r="Y205" s="9">
        <v>125</v>
      </c>
      <c r="Z205" s="9"/>
      <c r="AA205" s="9" t="s">
        <v>361</v>
      </c>
    </row>
    <row r="206" spans="1:27" x14ac:dyDescent="0.25">
      <c r="A206" s="9" t="s">
        <v>382</v>
      </c>
      <c r="B206" s="9" t="s">
        <v>359</v>
      </c>
      <c r="C206" s="9" t="s">
        <v>392</v>
      </c>
      <c r="D206" s="9">
        <v>500</v>
      </c>
      <c r="E206" s="9">
        <v>5000</v>
      </c>
      <c r="F206" s="12">
        <v>976</v>
      </c>
      <c r="G206" s="12">
        <v>976</v>
      </c>
      <c r="H206" s="9"/>
      <c r="I206" s="9"/>
      <c r="J206" s="12">
        <v>761</v>
      </c>
      <c r="K206" s="12">
        <v>761</v>
      </c>
      <c r="L206" s="18"/>
      <c r="M206" s="18"/>
      <c r="N206" s="9"/>
      <c r="O206" s="9">
        <v>1350</v>
      </c>
      <c r="P206" s="9">
        <v>378</v>
      </c>
      <c r="Q206" s="9">
        <v>1053</v>
      </c>
      <c r="R206" s="9">
        <v>892</v>
      </c>
      <c r="S206" s="9">
        <v>378</v>
      </c>
      <c r="T206" s="9">
        <v>1100</v>
      </c>
      <c r="U206" s="9">
        <v>73</v>
      </c>
      <c r="V206" s="9">
        <v>6000</v>
      </c>
      <c r="W206" s="9">
        <v>3500</v>
      </c>
      <c r="X206" s="9">
        <v>250</v>
      </c>
      <c r="Y206" s="9">
        <v>160</v>
      </c>
      <c r="Z206" s="9"/>
      <c r="AA206" s="9" t="s">
        <v>361</v>
      </c>
    </row>
    <row r="207" spans="1:27" x14ac:dyDescent="0.25">
      <c r="A207" s="9" t="s">
        <v>393</v>
      </c>
      <c r="B207" s="9" t="s">
        <v>359</v>
      </c>
      <c r="C207" s="9" t="s">
        <v>394</v>
      </c>
      <c r="D207" s="9">
        <v>65</v>
      </c>
      <c r="E207" s="9">
        <v>650</v>
      </c>
      <c r="F207" s="12">
        <v>575</v>
      </c>
      <c r="G207" s="12">
        <v>575</v>
      </c>
      <c r="H207" s="9"/>
      <c r="I207" s="9"/>
      <c r="J207" s="12">
        <v>448</v>
      </c>
      <c r="K207" s="12">
        <v>448</v>
      </c>
      <c r="L207" s="18"/>
      <c r="M207" s="18"/>
      <c r="N207" s="9"/>
      <c r="O207" s="9">
        <v>567</v>
      </c>
      <c r="P207" s="9">
        <v>158</v>
      </c>
      <c r="Q207" s="9">
        <v>442</v>
      </c>
      <c r="R207" s="9">
        <v>329</v>
      </c>
      <c r="S207" s="9">
        <v>158</v>
      </c>
      <c r="T207" s="9">
        <v>143</v>
      </c>
      <c r="U207" s="9">
        <v>26</v>
      </c>
      <c r="V207" s="9">
        <v>780</v>
      </c>
      <c r="W207" s="9">
        <v>455</v>
      </c>
      <c r="X207" s="9">
        <v>150</v>
      </c>
      <c r="Y207" s="9">
        <v>100</v>
      </c>
      <c r="Z207" s="9"/>
      <c r="AA207" s="9" t="s">
        <v>361</v>
      </c>
    </row>
    <row r="208" spans="1:27" x14ac:dyDescent="0.25">
      <c r="A208" s="9" t="s">
        <v>393</v>
      </c>
      <c r="B208" s="9" t="s">
        <v>359</v>
      </c>
      <c r="C208" s="9" t="s">
        <v>395</v>
      </c>
      <c r="D208" s="9">
        <v>85</v>
      </c>
      <c r="E208" s="9">
        <v>850</v>
      </c>
      <c r="F208" s="12">
        <v>608</v>
      </c>
      <c r="G208" s="12">
        <v>608</v>
      </c>
      <c r="H208" s="9"/>
      <c r="I208" s="9"/>
      <c r="J208" s="12">
        <v>474</v>
      </c>
      <c r="K208" s="12">
        <v>474</v>
      </c>
      <c r="L208" s="18"/>
      <c r="M208" s="18"/>
      <c r="N208" s="9"/>
      <c r="O208" s="9">
        <v>603</v>
      </c>
      <c r="P208" s="9">
        <v>168</v>
      </c>
      <c r="Q208" s="9">
        <v>470</v>
      </c>
      <c r="R208" s="9">
        <v>355</v>
      </c>
      <c r="S208" s="9">
        <v>168</v>
      </c>
      <c r="T208" s="9">
        <v>187</v>
      </c>
      <c r="U208" s="9">
        <v>30</v>
      </c>
      <c r="V208" s="9">
        <v>1020</v>
      </c>
      <c r="W208" s="9">
        <v>595</v>
      </c>
      <c r="X208" s="9">
        <v>150</v>
      </c>
      <c r="Y208" s="9">
        <v>100</v>
      </c>
      <c r="Z208" s="9"/>
      <c r="AA208" s="9" t="s">
        <v>361</v>
      </c>
    </row>
    <row r="209" spans="1:27" x14ac:dyDescent="0.25">
      <c r="A209" s="9" t="s">
        <v>393</v>
      </c>
      <c r="B209" s="9" t="s">
        <v>359</v>
      </c>
      <c r="C209" s="9" t="s">
        <v>396</v>
      </c>
      <c r="D209" s="9">
        <v>105</v>
      </c>
      <c r="E209" s="9">
        <v>1050</v>
      </c>
      <c r="F209" s="12">
        <v>636</v>
      </c>
      <c r="G209" s="12">
        <v>636</v>
      </c>
      <c r="H209" s="9"/>
      <c r="I209" s="9"/>
      <c r="J209" s="12">
        <v>496</v>
      </c>
      <c r="K209" s="12">
        <v>496</v>
      </c>
      <c r="L209" s="18"/>
      <c r="M209" s="18"/>
      <c r="N209" s="9"/>
      <c r="O209" s="9">
        <v>639</v>
      </c>
      <c r="P209" s="9">
        <v>178</v>
      </c>
      <c r="Q209" s="9">
        <v>498</v>
      </c>
      <c r="R209" s="9">
        <v>381</v>
      </c>
      <c r="S209" s="9">
        <v>178</v>
      </c>
      <c r="T209" s="9">
        <v>231</v>
      </c>
      <c r="U209" s="9">
        <v>33</v>
      </c>
      <c r="V209" s="9">
        <v>1260</v>
      </c>
      <c r="W209" s="9">
        <v>735</v>
      </c>
      <c r="X209" s="9">
        <v>150</v>
      </c>
      <c r="Y209" s="9">
        <v>100</v>
      </c>
      <c r="Z209" s="9"/>
      <c r="AA209" s="9" t="s">
        <v>361</v>
      </c>
    </row>
    <row r="210" spans="1:27" x14ac:dyDescent="0.25">
      <c r="A210" s="9" t="s">
        <v>393</v>
      </c>
      <c r="B210" s="9" t="s">
        <v>359</v>
      </c>
      <c r="C210" s="9" t="s">
        <v>397</v>
      </c>
      <c r="D210" s="9">
        <v>130</v>
      </c>
      <c r="E210" s="9">
        <v>1300</v>
      </c>
      <c r="F210" s="12">
        <v>669</v>
      </c>
      <c r="G210" s="12">
        <v>669</v>
      </c>
      <c r="H210" s="9"/>
      <c r="I210" s="9"/>
      <c r="J210" s="12">
        <v>521</v>
      </c>
      <c r="K210" s="12">
        <v>521</v>
      </c>
      <c r="L210" s="18"/>
      <c r="M210" s="18"/>
      <c r="N210" s="9"/>
      <c r="O210" s="9">
        <v>684</v>
      </c>
      <c r="P210" s="9">
        <v>191</v>
      </c>
      <c r="Q210" s="9">
        <v>533</v>
      </c>
      <c r="R210" s="9">
        <v>413</v>
      </c>
      <c r="S210" s="9">
        <v>191</v>
      </c>
      <c r="T210" s="9">
        <v>286</v>
      </c>
      <c r="U210" s="9">
        <v>37</v>
      </c>
      <c r="V210" s="9">
        <v>1560</v>
      </c>
      <c r="W210" s="9">
        <v>910</v>
      </c>
      <c r="X210" s="9">
        <v>150</v>
      </c>
      <c r="Y210" s="9">
        <v>100</v>
      </c>
      <c r="Z210" s="9"/>
      <c r="AA210" s="9" t="s">
        <v>361</v>
      </c>
    </row>
    <row r="211" spans="1:27" x14ac:dyDescent="0.25">
      <c r="A211" s="9" t="s">
        <v>393</v>
      </c>
      <c r="B211" s="9" t="s">
        <v>359</v>
      </c>
      <c r="C211" s="9" t="s">
        <v>398</v>
      </c>
      <c r="D211" s="9">
        <v>160</v>
      </c>
      <c r="E211" s="9">
        <v>1600</v>
      </c>
      <c r="F211" s="12">
        <v>704</v>
      </c>
      <c r="G211" s="12">
        <v>704</v>
      </c>
      <c r="H211" s="9"/>
      <c r="I211" s="9"/>
      <c r="J211" s="12">
        <v>549</v>
      </c>
      <c r="K211" s="12">
        <v>549</v>
      </c>
      <c r="L211" s="18"/>
      <c r="M211" s="18"/>
      <c r="N211" s="9"/>
      <c r="O211" s="9">
        <v>738</v>
      </c>
      <c r="P211" s="9">
        <v>206</v>
      </c>
      <c r="Q211" s="9">
        <v>575</v>
      </c>
      <c r="R211" s="9">
        <v>452</v>
      </c>
      <c r="S211" s="9">
        <v>206</v>
      </c>
      <c r="T211" s="9">
        <v>352</v>
      </c>
      <c r="U211" s="9">
        <v>41</v>
      </c>
      <c r="V211" s="9">
        <v>1920</v>
      </c>
      <c r="W211" s="9">
        <v>1120</v>
      </c>
      <c r="X211" s="9">
        <v>150</v>
      </c>
      <c r="Y211" s="9">
        <v>100</v>
      </c>
      <c r="Z211" s="9"/>
      <c r="AA211" s="9" t="s">
        <v>361</v>
      </c>
    </row>
    <row r="212" spans="1:27" x14ac:dyDescent="0.25">
      <c r="A212" s="9" t="s">
        <v>393</v>
      </c>
      <c r="B212" s="9" t="s">
        <v>359</v>
      </c>
      <c r="C212" s="9" t="s">
        <v>399</v>
      </c>
      <c r="D212" s="9">
        <v>220</v>
      </c>
      <c r="E212" s="9">
        <v>2200</v>
      </c>
      <c r="F212" s="12">
        <v>765</v>
      </c>
      <c r="G212" s="12">
        <v>765</v>
      </c>
      <c r="H212" s="9"/>
      <c r="I212" s="9"/>
      <c r="J212" s="12">
        <v>596</v>
      </c>
      <c r="K212" s="12">
        <v>596</v>
      </c>
      <c r="L212" s="18"/>
      <c r="M212" s="18"/>
      <c r="N212" s="9"/>
      <c r="O212" s="9">
        <v>846</v>
      </c>
      <c r="P212" s="9">
        <v>236</v>
      </c>
      <c r="Q212" s="9">
        <v>659</v>
      </c>
      <c r="R212" s="9">
        <v>530</v>
      </c>
      <c r="S212" s="9">
        <v>236</v>
      </c>
      <c r="T212" s="9">
        <v>484</v>
      </c>
      <c r="U212" s="9">
        <v>48</v>
      </c>
      <c r="V212" s="9">
        <v>2640</v>
      </c>
      <c r="W212" s="9">
        <v>1540</v>
      </c>
      <c r="X212" s="9">
        <v>200</v>
      </c>
      <c r="Y212" s="9">
        <v>125</v>
      </c>
      <c r="Z212" s="9"/>
      <c r="AA212" s="9" t="s">
        <v>361</v>
      </c>
    </row>
    <row r="213" spans="1:27" x14ac:dyDescent="0.25">
      <c r="A213" s="9" t="s">
        <v>393</v>
      </c>
      <c r="B213" s="9" t="s">
        <v>359</v>
      </c>
      <c r="C213" s="9" t="s">
        <v>400</v>
      </c>
      <c r="D213" s="9">
        <v>280</v>
      </c>
      <c r="E213" s="9">
        <v>2800</v>
      </c>
      <c r="F213" s="12">
        <v>818</v>
      </c>
      <c r="G213" s="12">
        <v>818</v>
      </c>
      <c r="H213" s="9"/>
      <c r="I213" s="9"/>
      <c r="J213" s="12">
        <v>638</v>
      </c>
      <c r="K213" s="12">
        <v>638</v>
      </c>
      <c r="L213" s="18"/>
      <c r="M213" s="18"/>
      <c r="N213" s="9"/>
      <c r="O213" s="9">
        <v>954</v>
      </c>
      <c r="P213" s="9">
        <v>267</v>
      </c>
      <c r="Q213" s="9">
        <v>744</v>
      </c>
      <c r="R213" s="9">
        <v>607</v>
      </c>
      <c r="S213" s="9">
        <v>267</v>
      </c>
      <c r="T213" s="9">
        <v>616</v>
      </c>
      <c r="U213" s="9">
        <v>55</v>
      </c>
      <c r="V213" s="9">
        <v>3360</v>
      </c>
      <c r="W213" s="9">
        <v>1960</v>
      </c>
      <c r="X213" s="9">
        <v>200</v>
      </c>
      <c r="Y213" s="9">
        <v>125</v>
      </c>
      <c r="Z213" s="9"/>
      <c r="AA213" s="9" t="s">
        <v>361</v>
      </c>
    </row>
    <row r="214" spans="1:27" x14ac:dyDescent="0.25">
      <c r="A214" s="9" t="s">
        <v>393</v>
      </c>
      <c r="B214" s="9" t="s">
        <v>359</v>
      </c>
      <c r="C214" s="9" t="s">
        <v>401</v>
      </c>
      <c r="D214" s="9">
        <v>350</v>
      </c>
      <c r="E214" s="9">
        <v>3500</v>
      </c>
      <c r="F214" s="12">
        <v>873</v>
      </c>
      <c r="G214" s="12">
        <v>873</v>
      </c>
      <c r="H214" s="9"/>
      <c r="I214" s="9"/>
      <c r="J214" s="12">
        <v>680</v>
      </c>
      <c r="K214" s="12">
        <v>680</v>
      </c>
      <c r="L214" s="18"/>
      <c r="M214" s="18"/>
      <c r="N214" s="9"/>
      <c r="O214" s="9">
        <v>1080</v>
      </c>
      <c r="P214" s="9">
        <v>302</v>
      </c>
      <c r="Q214" s="9">
        <v>842</v>
      </c>
      <c r="R214" s="9">
        <v>698</v>
      </c>
      <c r="S214" s="9">
        <v>302</v>
      </c>
      <c r="T214" s="9">
        <v>770</v>
      </c>
      <c r="U214" s="9">
        <v>61</v>
      </c>
      <c r="V214" s="9">
        <v>4200</v>
      </c>
      <c r="W214" s="9">
        <v>2450</v>
      </c>
      <c r="X214" s="9">
        <v>200</v>
      </c>
      <c r="Y214" s="9">
        <v>125</v>
      </c>
      <c r="Z214" s="9"/>
      <c r="AA214" s="9" t="s">
        <v>361</v>
      </c>
    </row>
    <row r="215" spans="1:27" x14ac:dyDescent="0.25">
      <c r="A215" s="9" t="s">
        <v>393</v>
      </c>
      <c r="B215" s="9" t="s">
        <v>359</v>
      </c>
      <c r="C215" s="9" t="s">
        <v>402</v>
      </c>
      <c r="D215" s="9">
        <v>450</v>
      </c>
      <c r="E215" s="9">
        <v>4500</v>
      </c>
      <c r="F215" s="12">
        <v>943</v>
      </c>
      <c r="G215" s="12">
        <v>943</v>
      </c>
      <c r="H215" s="9"/>
      <c r="I215" s="9"/>
      <c r="J215" s="12">
        <v>735</v>
      </c>
      <c r="K215" s="12">
        <v>735</v>
      </c>
      <c r="L215" s="18"/>
      <c r="M215" s="18"/>
      <c r="N215" s="9"/>
      <c r="O215" s="9">
        <v>1260</v>
      </c>
      <c r="P215" s="9">
        <v>352</v>
      </c>
      <c r="Q215" s="9">
        <v>982</v>
      </c>
      <c r="R215" s="9">
        <v>828</v>
      </c>
      <c r="S215" s="9">
        <v>352</v>
      </c>
      <c r="T215" s="9">
        <v>990</v>
      </c>
      <c r="U215" s="9">
        <v>69</v>
      </c>
      <c r="V215" s="9">
        <v>5400</v>
      </c>
      <c r="W215" s="9">
        <v>3150</v>
      </c>
      <c r="X215" s="9">
        <v>200</v>
      </c>
      <c r="Y215" s="9">
        <v>125</v>
      </c>
      <c r="Z215" s="9"/>
      <c r="AA215" s="9" t="s">
        <v>361</v>
      </c>
    </row>
    <row r="216" spans="1:27" x14ac:dyDescent="0.25">
      <c r="A216" s="9" t="s">
        <v>393</v>
      </c>
      <c r="B216" s="9" t="s">
        <v>359</v>
      </c>
      <c r="C216" s="9" t="s">
        <v>403</v>
      </c>
      <c r="D216" s="9">
        <v>550</v>
      </c>
      <c r="E216" s="9">
        <v>5500</v>
      </c>
      <c r="F216" s="12">
        <v>1006</v>
      </c>
      <c r="G216" s="12">
        <v>1006</v>
      </c>
      <c r="H216" s="9"/>
      <c r="I216" s="9"/>
      <c r="J216" s="12">
        <v>784</v>
      </c>
      <c r="K216" s="12">
        <v>784</v>
      </c>
      <c r="L216" s="18"/>
      <c r="M216" s="18"/>
      <c r="N216" s="9"/>
      <c r="O216" s="9">
        <v>1440</v>
      </c>
      <c r="P216" s="9">
        <v>403</v>
      </c>
      <c r="Q216" s="9">
        <v>1123</v>
      </c>
      <c r="R216" s="9">
        <v>957</v>
      </c>
      <c r="S216" s="9">
        <v>403</v>
      </c>
      <c r="T216" s="9">
        <v>1210</v>
      </c>
      <c r="U216" s="9">
        <v>77</v>
      </c>
      <c r="V216" s="9">
        <v>6600</v>
      </c>
      <c r="W216" s="9">
        <v>3850</v>
      </c>
      <c r="X216" s="9">
        <v>250</v>
      </c>
      <c r="Y216" s="9">
        <v>160</v>
      </c>
      <c r="Z216" s="9"/>
      <c r="AA216" s="9" t="s">
        <v>361</v>
      </c>
    </row>
    <row r="217" spans="1:27" x14ac:dyDescent="0.25">
      <c r="A217" s="9" t="s">
        <v>404</v>
      </c>
      <c r="B217" s="9" t="s">
        <v>359</v>
      </c>
      <c r="C217" s="9" t="s">
        <v>405</v>
      </c>
      <c r="D217" s="9">
        <v>60</v>
      </c>
      <c r="E217" s="9">
        <v>600</v>
      </c>
      <c r="F217" s="12">
        <v>566</v>
      </c>
      <c r="G217" s="12">
        <v>566</v>
      </c>
      <c r="H217" s="9"/>
      <c r="I217" s="9"/>
      <c r="J217" s="12">
        <v>441</v>
      </c>
      <c r="K217" s="12">
        <v>441</v>
      </c>
      <c r="L217" s="18"/>
      <c r="M217" s="18"/>
      <c r="N217" s="9"/>
      <c r="O217" s="9">
        <v>558</v>
      </c>
      <c r="P217" s="9">
        <v>156</v>
      </c>
      <c r="Q217" s="9">
        <v>435</v>
      </c>
      <c r="R217" s="9">
        <v>322</v>
      </c>
      <c r="S217" s="9">
        <v>156</v>
      </c>
      <c r="T217" s="9">
        <v>132</v>
      </c>
      <c r="U217" s="9">
        <v>25</v>
      </c>
      <c r="V217" s="9">
        <v>720</v>
      </c>
      <c r="W217" s="9">
        <v>420</v>
      </c>
      <c r="X217" s="9">
        <v>150</v>
      </c>
      <c r="Y217" s="9">
        <v>100</v>
      </c>
      <c r="Z217" s="9"/>
      <c r="AA217" s="9" t="s">
        <v>361</v>
      </c>
    </row>
    <row r="218" spans="1:27" x14ac:dyDescent="0.25">
      <c r="A218" s="9" t="s">
        <v>404</v>
      </c>
      <c r="B218" s="9" t="s">
        <v>359</v>
      </c>
      <c r="C218" s="9" t="s">
        <v>406</v>
      </c>
      <c r="D218" s="9">
        <v>90</v>
      </c>
      <c r="E218" s="9">
        <v>900</v>
      </c>
      <c r="F218" s="12">
        <v>615</v>
      </c>
      <c r="G218" s="12">
        <v>615</v>
      </c>
      <c r="H218" s="9"/>
      <c r="I218" s="9"/>
      <c r="J218" s="12">
        <v>479</v>
      </c>
      <c r="K218" s="12">
        <v>479</v>
      </c>
      <c r="L218" s="18"/>
      <c r="M218" s="18"/>
      <c r="N218" s="9"/>
      <c r="O218" s="9">
        <v>612</v>
      </c>
      <c r="P218" s="9">
        <v>171</v>
      </c>
      <c r="Q218" s="9">
        <v>477</v>
      </c>
      <c r="R218" s="9">
        <v>361</v>
      </c>
      <c r="S218" s="9">
        <v>171</v>
      </c>
      <c r="T218" s="9">
        <v>198</v>
      </c>
      <c r="U218" s="9">
        <v>31</v>
      </c>
      <c r="V218" s="9">
        <v>1080</v>
      </c>
      <c r="W218" s="9">
        <v>630</v>
      </c>
      <c r="X218" s="9">
        <v>150</v>
      </c>
      <c r="Y218" s="9">
        <v>100</v>
      </c>
      <c r="Z218" s="9"/>
      <c r="AA218" s="9" t="s">
        <v>361</v>
      </c>
    </row>
    <row r="219" spans="1:27" x14ac:dyDescent="0.25">
      <c r="A219" s="9" t="s">
        <v>404</v>
      </c>
      <c r="B219" s="9" t="s">
        <v>359</v>
      </c>
      <c r="C219" s="9" t="s">
        <v>407</v>
      </c>
      <c r="D219" s="9">
        <v>120</v>
      </c>
      <c r="E219" s="9">
        <v>1200</v>
      </c>
      <c r="F219" s="12">
        <v>656</v>
      </c>
      <c r="G219" s="12">
        <v>656</v>
      </c>
      <c r="H219" s="9"/>
      <c r="I219" s="9"/>
      <c r="J219" s="12">
        <v>511</v>
      </c>
      <c r="K219" s="12">
        <v>511</v>
      </c>
      <c r="L219" s="18"/>
      <c r="M219" s="18"/>
      <c r="N219" s="9"/>
      <c r="O219" s="9">
        <v>666</v>
      </c>
      <c r="P219" s="9">
        <v>186</v>
      </c>
      <c r="Q219" s="9">
        <v>519</v>
      </c>
      <c r="R219" s="9">
        <v>400</v>
      </c>
      <c r="S219" s="9">
        <v>186</v>
      </c>
      <c r="T219" s="9">
        <v>264</v>
      </c>
      <c r="U219" s="9">
        <v>36</v>
      </c>
      <c r="V219" s="9">
        <v>1440</v>
      </c>
      <c r="W219" s="9">
        <v>840</v>
      </c>
      <c r="X219" s="9">
        <v>150</v>
      </c>
      <c r="Y219" s="9">
        <v>100</v>
      </c>
      <c r="Z219" s="9"/>
      <c r="AA219" s="9" t="s">
        <v>361</v>
      </c>
    </row>
    <row r="220" spans="1:27" x14ac:dyDescent="0.25">
      <c r="A220" s="9" t="s">
        <v>404</v>
      </c>
      <c r="B220" s="9" t="s">
        <v>359</v>
      </c>
      <c r="C220" s="9" t="s">
        <v>408</v>
      </c>
      <c r="D220" s="9">
        <v>160</v>
      </c>
      <c r="E220" s="9">
        <v>1600</v>
      </c>
      <c r="F220" s="12">
        <v>704</v>
      </c>
      <c r="G220" s="12">
        <v>704</v>
      </c>
      <c r="H220" s="9"/>
      <c r="I220" s="9"/>
      <c r="J220" s="12">
        <v>549</v>
      </c>
      <c r="K220" s="12">
        <v>549</v>
      </c>
      <c r="L220" s="18"/>
      <c r="M220" s="18"/>
      <c r="N220" s="9"/>
      <c r="O220" s="9">
        <v>738</v>
      </c>
      <c r="P220" s="9">
        <v>206</v>
      </c>
      <c r="Q220" s="9">
        <v>575</v>
      </c>
      <c r="R220" s="9">
        <v>452</v>
      </c>
      <c r="S220" s="9">
        <v>206</v>
      </c>
      <c r="T220" s="9">
        <v>352</v>
      </c>
      <c r="U220" s="9">
        <v>41</v>
      </c>
      <c r="V220" s="9">
        <v>1920</v>
      </c>
      <c r="W220" s="9">
        <v>1120</v>
      </c>
      <c r="X220" s="9">
        <v>150</v>
      </c>
      <c r="Y220" s="9">
        <v>100</v>
      </c>
      <c r="Z220" s="9"/>
      <c r="AA220" s="9" t="s">
        <v>361</v>
      </c>
    </row>
    <row r="221" spans="1:27" x14ac:dyDescent="0.25">
      <c r="A221" s="9" t="s">
        <v>404</v>
      </c>
      <c r="B221" s="9" t="s">
        <v>359</v>
      </c>
      <c r="C221" s="9" t="s">
        <v>409</v>
      </c>
      <c r="D221" s="9">
        <v>210</v>
      </c>
      <c r="E221" s="9">
        <v>2100</v>
      </c>
      <c r="F221" s="12">
        <v>755</v>
      </c>
      <c r="G221" s="12">
        <v>755</v>
      </c>
      <c r="H221" s="9"/>
      <c r="I221" s="9"/>
      <c r="J221" s="12">
        <v>588</v>
      </c>
      <c r="K221" s="12">
        <v>588</v>
      </c>
      <c r="L221" s="18"/>
      <c r="M221" s="18"/>
      <c r="N221" s="9"/>
      <c r="O221" s="9">
        <v>828</v>
      </c>
      <c r="P221" s="9">
        <v>231</v>
      </c>
      <c r="Q221" s="9">
        <v>645</v>
      </c>
      <c r="R221" s="9">
        <v>517</v>
      </c>
      <c r="S221" s="9">
        <v>231</v>
      </c>
      <c r="T221" s="9">
        <v>462</v>
      </c>
      <c r="U221" s="9">
        <v>47</v>
      </c>
      <c r="V221" s="9">
        <v>2520</v>
      </c>
      <c r="W221" s="9">
        <v>1470</v>
      </c>
      <c r="X221" s="9">
        <v>200</v>
      </c>
      <c r="Y221" s="9">
        <v>125</v>
      </c>
      <c r="Z221" s="9"/>
      <c r="AA221" s="9" t="s">
        <v>361</v>
      </c>
    </row>
    <row r="222" spans="1:27" x14ac:dyDescent="0.25">
      <c r="A222" s="9" t="s">
        <v>404</v>
      </c>
      <c r="B222" s="9" t="s">
        <v>359</v>
      </c>
      <c r="C222" s="9" t="s">
        <v>410</v>
      </c>
      <c r="D222" s="9">
        <v>300</v>
      </c>
      <c r="E222" s="9">
        <v>3000</v>
      </c>
      <c r="F222" s="12">
        <v>834</v>
      </c>
      <c r="G222" s="12">
        <v>834</v>
      </c>
      <c r="H222" s="9"/>
      <c r="I222" s="9"/>
      <c r="J222" s="12">
        <v>650</v>
      </c>
      <c r="K222" s="12">
        <v>650</v>
      </c>
      <c r="L222" s="18"/>
      <c r="M222" s="18"/>
      <c r="N222" s="9"/>
      <c r="O222" s="9">
        <v>990</v>
      </c>
      <c r="P222" s="9">
        <v>277</v>
      </c>
      <c r="Q222" s="9">
        <v>772</v>
      </c>
      <c r="R222" s="9">
        <v>633</v>
      </c>
      <c r="S222" s="9">
        <v>277</v>
      </c>
      <c r="T222" s="9">
        <v>660</v>
      </c>
      <c r="U222" s="9">
        <v>57</v>
      </c>
      <c r="V222" s="9">
        <v>3600</v>
      </c>
      <c r="W222" s="9">
        <v>2100</v>
      </c>
      <c r="X222" s="9">
        <v>200</v>
      </c>
      <c r="Y222" s="9">
        <v>125</v>
      </c>
      <c r="Z222" s="9"/>
      <c r="AA222" s="9" t="s">
        <v>361</v>
      </c>
    </row>
    <row r="223" spans="1:27" x14ac:dyDescent="0.25">
      <c r="A223" s="9" t="s">
        <v>404</v>
      </c>
      <c r="B223" s="9" t="s">
        <v>359</v>
      </c>
      <c r="C223" s="9" t="s">
        <v>411</v>
      </c>
      <c r="D223" s="9">
        <v>400</v>
      </c>
      <c r="E223" s="9">
        <v>4000</v>
      </c>
      <c r="F223" s="12">
        <v>910</v>
      </c>
      <c r="G223" s="12">
        <v>910</v>
      </c>
      <c r="H223" s="9"/>
      <c r="I223" s="9"/>
      <c r="J223" s="12">
        <v>709</v>
      </c>
      <c r="K223" s="12">
        <v>709</v>
      </c>
      <c r="L223" s="18"/>
      <c r="M223" s="18"/>
      <c r="N223" s="9"/>
      <c r="O223" s="9">
        <v>1170</v>
      </c>
      <c r="P223" s="9">
        <v>327</v>
      </c>
      <c r="Q223" s="9">
        <v>912</v>
      </c>
      <c r="R223" s="9">
        <v>763</v>
      </c>
      <c r="S223" s="9">
        <v>327</v>
      </c>
      <c r="T223" s="9">
        <v>880</v>
      </c>
      <c r="U223" s="9">
        <v>65</v>
      </c>
      <c r="V223" s="9">
        <v>4800</v>
      </c>
      <c r="W223" s="9">
        <v>2800</v>
      </c>
      <c r="X223" s="9">
        <v>200</v>
      </c>
      <c r="Y223" s="9">
        <v>125</v>
      </c>
      <c r="Z223" s="9"/>
      <c r="AA223" s="9" t="s">
        <v>361</v>
      </c>
    </row>
    <row r="224" spans="1:27" x14ac:dyDescent="0.25">
      <c r="A224" s="9" t="s">
        <v>404</v>
      </c>
      <c r="B224" s="9" t="s">
        <v>359</v>
      </c>
      <c r="C224" s="9" t="s">
        <v>412</v>
      </c>
      <c r="D224" s="9">
        <v>500</v>
      </c>
      <c r="E224" s="9">
        <v>5000</v>
      </c>
      <c r="F224" s="12">
        <v>976</v>
      </c>
      <c r="G224" s="12">
        <v>976</v>
      </c>
      <c r="H224" s="9"/>
      <c r="I224" s="9"/>
      <c r="J224" s="12">
        <v>761</v>
      </c>
      <c r="K224" s="12">
        <v>761</v>
      </c>
      <c r="L224" s="18"/>
      <c r="M224" s="18"/>
      <c r="N224" s="9"/>
      <c r="O224" s="9">
        <v>1350</v>
      </c>
      <c r="P224" s="9">
        <v>378</v>
      </c>
      <c r="Q224" s="9">
        <v>1053</v>
      </c>
      <c r="R224" s="9">
        <v>892</v>
      </c>
      <c r="S224" s="9">
        <v>378</v>
      </c>
      <c r="T224" s="9">
        <v>1100</v>
      </c>
      <c r="U224" s="9">
        <v>73</v>
      </c>
      <c r="V224" s="9">
        <v>6000</v>
      </c>
      <c r="W224" s="9">
        <v>3500</v>
      </c>
      <c r="X224" s="9">
        <v>250</v>
      </c>
      <c r="Y224" s="9">
        <v>160</v>
      </c>
      <c r="Z224" s="9"/>
      <c r="AA224" s="9" t="s">
        <v>361</v>
      </c>
    </row>
    <row r="225" spans="1:27" x14ac:dyDescent="0.25">
      <c r="A225" s="9" t="s">
        <v>404</v>
      </c>
      <c r="B225" s="9" t="s">
        <v>359</v>
      </c>
      <c r="C225" s="9" t="s">
        <v>413</v>
      </c>
      <c r="D225" s="9">
        <v>650</v>
      </c>
      <c r="E225" s="9">
        <v>6500</v>
      </c>
      <c r="F225" s="12">
        <v>1063</v>
      </c>
      <c r="G225" s="12">
        <v>1063</v>
      </c>
      <c r="H225" s="9"/>
      <c r="I225" s="9"/>
      <c r="J225" s="12">
        <v>829</v>
      </c>
      <c r="K225" s="12">
        <v>829</v>
      </c>
      <c r="L225" s="18"/>
      <c r="M225" s="18"/>
      <c r="N225" s="9"/>
      <c r="O225" s="9">
        <v>1620</v>
      </c>
      <c r="P225" s="9">
        <v>453</v>
      </c>
      <c r="Q225" s="9">
        <v>1263</v>
      </c>
      <c r="R225" s="9">
        <v>1087</v>
      </c>
      <c r="S225" s="9">
        <v>453</v>
      </c>
      <c r="T225" s="9">
        <v>1430</v>
      </c>
      <c r="U225" s="9">
        <v>83</v>
      </c>
      <c r="V225" s="9">
        <v>7800</v>
      </c>
      <c r="W225" s="9">
        <v>4550</v>
      </c>
      <c r="X225" s="9">
        <v>250</v>
      </c>
      <c r="Y225" s="9">
        <v>160</v>
      </c>
      <c r="Z225" s="9"/>
      <c r="AA225" s="9" t="s">
        <v>361</v>
      </c>
    </row>
    <row r="226" spans="1:27" x14ac:dyDescent="0.25">
      <c r="A226" s="9" t="s">
        <v>404</v>
      </c>
      <c r="B226" s="9" t="s">
        <v>359</v>
      </c>
      <c r="C226" s="9" t="s">
        <v>414</v>
      </c>
      <c r="D226" s="9">
        <v>800</v>
      </c>
      <c r="E226" s="9">
        <v>8000</v>
      </c>
      <c r="F226" s="12">
        <v>1141</v>
      </c>
      <c r="G226" s="12">
        <v>1141</v>
      </c>
      <c r="H226" s="9"/>
      <c r="I226" s="9"/>
      <c r="J226" s="12">
        <v>889</v>
      </c>
      <c r="K226" s="12">
        <v>889</v>
      </c>
      <c r="L226" s="18"/>
      <c r="M226" s="18"/>
      <c r="N226" s="9"/>
      <c r="O226" s="9">
        <v>1890</v>
      </c>
      <c r="P226" s="9">
        <v>529</v>
      </c>
      <c r="Q226" s="9">
        <v>1474</v>
      </c>
      <c r="R226" s="9">
        <v>1281</v>
      </c>
      <c r="S226" s="9">
        <v>529</v>
      </c>
      <c r="T226" s="9">
        <v>1760</v>
      </c>
      <c r="U226" s="9">
        <v>90</v>
      </c>
      <c r="V226" s="9">
        <v>9600</v>
      </c>
      <c r="W226" s="9">
        <v>5600</v>
      </c>
      <c r="X226" s="9">
        <v>250</v>
      </c>
      <c r="Y226" s="9">
        <v>160</v>
      </c>
      <c r="Z226" s="9"/>
      <c r="AA226" s="9" t="s">
        <v>361</v>
      </c>
    </row>
    <row r="227" spans="1:27" x14ac:dyDescent="0.25">
      <c r="A227" s="9" t="s">
        <v>415</v>
      </c>
      <c r="B227" s="9" t="s">
        <v>359</v>
      </c>
      <c r="C227" s="9" t="s">
        <v>416</v>
      </c>
      <c r="D227" s="9">
        <v>50</v>
      </c>
      <c r="E227" s="9">
        <v>500</v>
      </c>
      <c r="F227" s="12">
        <v>547</v>
      </c>
      <c r="G227" s="12">
        <v>547</v>
      </c>
      <c r="H227" s="9"/>
      <c r="I227" s="9"/>
      <c r="J227" s="12">
        <v>426</v>
      </c>
      <c r="K227" s="12">
        <v>426</v>
      </c>
      <c r="L227" s="18"/>
      <c r="M227" s="18"/>
      <c r="N227" s="9"/>
      <c r="O227" s="9">
        <v>540</v>
      </c>
      <c r="P227" s="9">
        <v>151</v>
      </c>
      <c r="Q227" s="9">
        <v>421</v>
      </c>
      <c r="R227" s="9">
        <v>309</v>
      </c>
      <c r="S227" s="9">
        <v>151</v>
      </c>
      <c r="T227" s="9">
        <v>110</v>
      </c>
      <c r="U227" s="9">
        <v>23</v>
      </c>
      <c r="V227" s="9">
        <v>600</v>
      </c>
      <c r="W227" s="9">
        <v>350</v>
      </c>
      <c r="X227" s="9">
        <v>150</v>
      </c>
      <c r="Y227" s="9">
        <v>100</v>
      </c>
      <c r="Z227" s="9"/>
      <c r="AA227" s="9" t="s">
        <v>361</v>
      </c>
    </row>
    <row r="228" spans="1:27" x14ac:dyDescent="0.25">
      <c r="A228" s="9" t="s">
        <v>415</v>
      </c>
      <c r="B228" s="9" t="s">
        <v>359</v>
      </c>
      <c r="C228" s="9" t="s">
        <v>417</v>
      </c>
      <c r="D228" s="9">
        <v>75</v>
      </c>
      <c r="E228" s="9">
        <v>750</v>
      </c>
      <c r="F228" s="12">
        <v>592</v>
      </c>
      <c r="G228" s="12">
        <v>592</v>
      </c>
      <c r="H228" s="9"/>
      <c r="I228" s="9"/>
      <c r="J228" s="12">
        <v>461</v>
      </c>
      <c r="K228" s="12">
        <v>461</v>
      </c>
      <c r="L228" s="18"/>
      <c r="M228" s="18"/>
      <c r="N228" s="9"/>
      <c r="O228" s="9">
        <v>585</v>
      </c>
      <c r="P228" s="9">
        <v>163</v>
      </c>
      <c r="Q228" s="9">
        <v>456</v>
      </c>
      <c r="R228" s="9">
        <v>342</v>
      </c>
      <c r="S228" s="9">
        <v>163</v>
      </c>
      <c r="T228" s="9">
        <v>165</v>
      </c>
      <c r="U228" s="9">
        <v>28</v>
      </c>
      <c r="V228" s="9">
        <v>900</v>
      </c>
      <c r="W228" s="9">
        <v>525</v>
      </c>
      <c r="X228" s="9">
        <v>150</v>
      </c>
      <c r="Y228" s="9">
        <v>100</v>
      </c>
      <c r="Z228" s="9"/>
      <c r="AA228" s="9" t="s">
        <v>361</v>
      </c>
    </row>
    <row r="229" spans="1:27" x14ac:dyDescent="0.25">
      <c r="A229" s="9" t="s">
        <v>415</v>
      </c>
      <c r="B229" s="9" t="s">
        <v>359</v>
      </c>
      <c r="C229" s="9" t="s">
        <v>418</v>
      </c>
      <c r="D229" s="9">
        <v>100</v>
      </c>
      <c r="E229" s="9">
        <v>1000</v>
      </c>
      <c r="F229" s="12">
        <v>630</v>
      </c>
      <c r="G229" s="12">
        <v>630</v>
      </c>
      <c r="H229" s="9"/>
      <c r="I229" s="9"/>
      <c r="J229" s="12">
        <v>491</v>
      </c>
      <c r="K229" s="12">
        <v>491</v>
      </c>
      <c r="L229" s="18"/>
      <c r="M229" s="18"/>
      <c r="N229" s="9"/>
      <c r="O229" s="9">
        <v>630</v>
      </c>
      <c r="P229" s="9">
        <v>176</v>
      </c>
      <c r="Q229" s="9">
        <v>491</v>
      </c>
      <c r="R229" s="9">
        <v>374</v>
      </c>
      <c r="S229" s="9">
        <v>176</v>
      </c>
      <c r="T229" s="9">
        <v>220</v>
      </c>
      <c r="U229" s="9">
        <v>33</v>
      </c>
      <c r="V229" s="9">
        <v>1200</v>
      </c>
      <c r="W229" s="9">
        <v>700</v>
      </c>
      <c r="X229" s="9">
        <v>150</v>
      </c>
      <c r="Y229" s="9">
        <v>100</v>
      </c>
      <c r="Z229" s="9"/>
      <c r="AA229" s="9" t="s">
        <v>361</v>
      </c>
    </row>
    <row r="230" spans="1:27" x14ac:dyDescent="0.25">
      <c r="A230" s="9" t="s">
        <v>415</v>
      </c>
      <c r="B230" s="9" t="s">
        <v>359</v>
      </c>
      <c r="C230" s="9" t="s">
        <v>419</v>
      </c>
      <c r="D230" s="9">
        <v>130</v>
      </c>
      <c r="E230" s="9">
        <v>1300</v>
      </c>
      <c r="F230" s="12">
        <v>669</v>
      </c>
      <c r="G230" s="12">
        <v>669</v>
      </c>
      <c r="H230" s="9"/>
      <c r="I230" s="9"/>
      <c r="J230" s="12">
        <v>521</v>
      </c>
      <c r="K230" s="12">
        <v>521</v>
      </c>
      <c r="L230" s="18"/>
      <c r="M230" s="18"/>
      <c r="N230" s="9"/>
      <c r="O230" s="9">
        <v>684</v>
      </c>
      <c r="P230" s="9">
        <v>191</v>
      </c>
      <c r="Q230" s="9">
        <v>533</v>
      </c>
      <c r="R230" s="9">
        <v>413</v>
      </c>
      <c r="S230" s="9">
        <v>191</v>
      </c>
      <c r="T230" s="9">
        <v>286</v>
      </c>
      <c r="U230" s="9">
        <v>37</v>
      </c>
      <c r="V230" s="9">
        <v>1560</v>
      </c>
      <c r="W230" s="9">
        <v>910</v>
      </c>
      <c r="X230" s="9">
        <v>150</v>
      </c>
      <c r="Y230" s="9">
        <v>100</v>
      </c>
      <c r="Z230" s="9"/>
      <c r="AA230" s="9" t="s">
        <v>361</v>
      </c>
    </row>
    <row r="231" spans="1:27" x14ac:dyDescent="0.25">
      <c r="A231" s="9" t="s">
        <v>415</v>
      </c>
      <c r="B231" s="9" t="s">
        <v>359</v>
      </c>
      <c r="C231" s="9" t="s">
        <v>420</v>
      </c>
      <c r="D231" s="9">
        <v>180</v>
      </c>
      <c r="E231" s="9">
        <v>1800</v>
      </c>
      <c r="F231" s="12">
        <v>725</v>
      </c>
      <c r="G231" s="12">
        <v>725</v>
      </c>
      <c r="H231" s="9"/>
      <c r="I231" s="9"/>
      <c r="J231" s="12">
        <v>565</v>
      </c>
      <c r="K231" s="12">
        <v>565</v>
      </c>
      <c r="L231" s="18"/>
      <c r="M231" s="18"/>
      <c r="N231" s="9"/>
      <c r="O231" s="9">
        <v>774</v>
      </c>
      <c r="P231" s="9">
        <v>216</v>
      </c>
      <c r="Q231" s="9">
        <v>603</v>
      </c>
      <c r="R231" s="9">
        <v>478</v>
      </c>
      <c r="S231" s="9">
        <v>216</v>
      </c>
      <c r="T231" s="9">
        <v>396</v>
      </c>
      <c r="U231" s="9">
        <v>44</v>
      </c>
      <c r="V231" s="9">
        <v>2160</v>
      </c>
      <c r="W231" s="9">
        <v>1260</v>
      </c>
      <c r="X231" s="9">
        <v>150</v>
      </c>
      <c r="Y231" s="9">
        <v>100</v>
      </c>
      <c r="Z231" s="9"/>
      <c r="AA231" s="9" t="s">
        <v>361</v>
      </c>
    </row>
    <row r="232" spans="1:27" x14ac:dyDescent="0.25">
      <c r="A232" s="9" t="s">
        <v>415</v>
      </c>
      <c r="B232" s="9" t="s">
        <v>359</v>
      </c>
      <c r="C232" s="9" t="s">
        <v>421</v>
      </c>
      <c r="D232" s="9">
        <v>220</v>
      </c>
      <c r="E232" s="9">
        <v>2200</v>
      </c>
      <c r="F232" s="12">
        <v>765</v>
      </c>
      <c r="G232" s="12">
        <v>765</v>
      </c>
      <c r="H232" s="9"/>
      <c r="I232" s="9"/>
      <c r="J232" s="12">
        <v>596</v>
      </c>
      <c r="K232" s="12">
        <v>596</v>
      </c>
      <c r="L232" s="18"/>
      <c r="M232" s="18"/>
      <c r="N232" s="9"/>
      <c r="O232" s="9">
        <v>846</v>
      </c>
      <c r="P232" s="9">
        <v>236</v>
      </c>
      <c r="Q232" s="9">
        <v>659</v>
      </c>
      <c r="R232" s="9">
        <v>530</v>
      </c>
      <c r="S232" s="9">
        <v>236</v>
      </c>
      <c r="T232" s="9">
        <v>484</v>
      </c>
      <c r="U232" s="9">
        <v>48</v>
      </c>
      <c r="V232" s="9">
        <v>2640</v>
      </c>
      <c r="W232" s="9">
        <v>1540</v>
      </c>
      <c r="X232" s="9">
        <v>200</v>
      </c>
      <c r="Y232" s="9">
        <v>125</v>
      </c>
      <c r="Z232" s="9"/>
      <c r="AA232" s="9" t="s">
        <v>361</v>
      </c>
    </row>
    <row r="233" spans="1:27" x14ac:dyDescent="0.25">
      <c r="A233" s="9" t="s">
        <v>415</v>
      </c>
      <c r="B233" s="9" t="s">
        <v>359</v>
      </c>
      <c r="C233" s="9" t="s">
        <v>422</v>
      </c>
      <c r="D233" s="9">
        <v>280</v>
      </c>
      <c r="E233" s="9">
        <v>2800</v>
      </c>
      <c r="F233" s="12">
        <v>818</v>
      </c>
      <c r="G233" s="12">
        <v>818</v>
      </c>
      <c r="H233" s="9"/>
      <c r="I233" s="9"/>
      <c r="J233" s="12">
        <v>638</v>
      </c>
      <c r="K233" s="12">
        <v>638</v>
      </c>
      <c r="L233" s="18"/>
      <c r="M233" s="18"/>
      <c r="N233" s="9"/>
      <c r="O233" s="9">
        <v>954</v>
      </c>
      <c r="P233" s="9">
        <v>267</v>
      </c>
      <c r="Q233" s="9">
        <v>744</v>
      </c>
      <c r="R233" s="9">
        <v>607</v>
      </c>
      <c r="S233" s="9">
        <v>267</v>
      </c>
      <c r="T233" s="9">
        <v>616</v>
      </c>
      <c r="U233" s="9">
        <v>55</v>
      </c>
      <c r="V233" s="9">
        <v>3360</v>
      </c>
      <c r="W233" s="9">
        <v>1960</v>
      </c>
      <c r="X233" s="9">
        <v>200</v>
      </c>
      <c r="Y233" s="9">
        <v>125</v>
      </c>
      <c r="Z233" s="9"/>
      <c r="AA233" s="9" t="s">
        <v>361</v>
      </c>
    </row>
    <row r="234" spans="1:27" x14ac:dyDescent="0.25">
      <c r="A234" s="9" t="s">
        <v>415</v>
      </c>
      <c r="B234" s="9" t="s">
        <v>359</v>
      </c>
      <c r="C234" s="9" t="s">
        <v>423</v>
      </c>
      <c r="D234" s="9">
        <v>350</v>
      </c>
      <c r="E234" s="9">
        <v>3500</v>
      </c>
      <c r="F234" s="12">
        <v>873</v>
      </c>
      <c r="G234" s="12">
        <v>873</v>
      </c>
      <c r="H234" s="9"/>
      <c r="I234" s="9"/>
      <c r="J234" s="12">
        <v>680</v>
      </c>
      <c r="K234" s="12">
        <v>680</v>
      </c>
      <c r="L234" s="18"/>
      <c r="M234" s="18"/>
      <c r="N234" s="9"/>
      <c r="O234" s="9">
        <v>1080</v>
      </c>
      <c r="P234" s="9">
        <v>302</v>
      </c>
      <c r="Q234" s="9">
        <v>842</v>
      </c>
      <c r="R234" s="9">
        <v>698</v>
      </c>
      <c r="S234" s="9">
        <v>302</v>
      </c>
      <c r="T234" s="9">
        <v>770</v>
      </c>
      <c r="U234" s="9">
        <v>61</v>
      </c>
      <c r="V234" s="9">
        <v>4200</v>
      </c>
      <c r="W234" s="9">
        <v>2450</v>
      </c>
      <c r="X234" s="9">
        <v>200</v>
      </c>
      <c r="Y234" s="9">
        <v>125</v>
      </c>
      <c r="Z234" s="9"/>
      <c r="AA234" s="9" t="s">
        <v>361</v>
      </c>
    </row>
    <row r="235" spans="1:27" x14ac:dyDescent="0.25">
      <c r="A235" s="9" t="s">
        <v>415</v>
      </c>
      <c r="B235" s="9" t="s">
        <v>359</v>
      </c>
      <c r="C235" s="9" t="s">
        <v>424</v>
      </c>
      <c r="D235" s="9">
        <v>450</v>
      </c>
      <c r="E235" s="9">
        <v>4500</v>
      </c>
      <c r="F235" s="12">
        <v>943</v>
      </c>
      <c r="G235" s="12">
        <v>943</v>
      </c>
      <c r="H235" s="9"/>
      <c r="I235" s="9"/>
      <c r="J235" s="12">
        <v>735</v>
      </c>
      <c r="K235" s="12">
        <v>735</v>
      </c>
      <c r="L235" s="18"/>
      <c r="M235" s="18"/>
      <c r="N235" s="9"/>
      <c r="O235" s="9">
        <v>1260</v>
      </c>
      <c r="P235" s="9">
        <v>352</v>
      </c>
      <c r="Q235" s="9">
        <v>982</v>
      </c>
      <c r="R235" s="9">
        <v>828</v>
      </c>
      <c r="S235" s="9">
        <v>352</v>
      </c>
      <c r="T235" s="9">
        <v>990</v>
      </c>
      <c r="U235" s="9">
        <v>69</v>
      </c>
      <c r="V235" s="9">
        <v>5400</v>
      </c>
      <c r="W235" s="9">
        <v>3150</v>
      </c>
      <c r="X235" s="9">
        <v>200</v>
      </c>
      <c r="Y235" s="9">
        <v>125</v>
      </c>
      <c r="Z235" s="9"/>
      <c r="AA235" s="9" t="s">
        <v>361</v>
      </c>
    </row>
    <row r="236" spans="1:27" x14ac:dyDescent="0.25">
      <c r="A236" s="9" t="s">
        <v>415</v>
      </c>
      <c r="B236" s="9" t="s">
        <v>359</v>
      </c>
      <c r="C236" s="9" t="s">
        <v>425</v>
      </c>
      <c r="D236" s="9">
        <v>500</v>
      </c>
      <c r="E236" s="9">
        <v>5000</v>
      </c>
      <c r="F236" s="12">
        <v>976</v>
      </c>
      <c r="G236" s="12">
        <v>976</v>
      </c>
      <c r="H236" s="9"/>
      <c r="I236" s="9"/>
      <c r="J236" s="12">
        <v>761</v>
      </c>
      <c r="K236" s="12">
        <v>761</v>
      </c>
      <c r="L236" s="18"/>
      <c r="M236" s="18"/>
      <c r="N236" s="9"/>
      <c r="O236" s="9">
        <v>1350</v>
      </c>
      <c r="P236" s="9">
        <v>378</v>
      </c>
      <c r="Q236" s="9">
        <v>1053</v>
      </c>
      <c r="R236" s="9">
        <v>892</v>
      </c>
      <c r="S236" s="9">
        <v>378</v>
      </c>
      <c r="T236" s="9">
        <v>1100</v>
      </c>
      <c r="U236" s="9">
        <v>73</v>
      </c>
      <c r="V236" s="9">
        <v>6000</v>
      </c>
      <c r="W236" s="9">
        <v>3500</v>
      </c>
      <c r="X236" s="9">
        <v>250</v>
      </c>
      <c r="Y236" s="9">
        <v>160</v>
      </c>
      <c r="Z236" s="9"/>
      <c r="AA236" s="9" t="s">
        <v>361</v>
      </c>
    </row>
    <row r="237" spans="1:27" x14ac:dyDescent="0.25">
      <c r="A237" s="9" t="s">
        <v>426</v>
      </c>
      <c r="B237" s="9" t="s">
        <v>359</v>
      </c>
      <c r="C237" s="9" t="s">
        <v>427</v>
      </c>
      <c r="D237" s="9">
        <v>50</v>
      </c>
      <c r="E237" s="9">
        <v>500</v>
      </c>
      <c r="F237" s="12">
        <v>547</v>
      </c>
      <c r="G237" s="12">
        <v>547</v>
      </c>
      <c r="H237" s="9"/>
      <c r="I237" s="9"/>
      <c r="J237" s="12">
        <v>426</v>
      </c>
      <c r="K237" s="12">
        <v>426</v>
      </c>
      <c r="L237" s="18"/>
      <c r="M237" s="18"/>
      <c r="N237" s="9"/>
      <c r="O237" s="9">
        <v>540</v>
      </c>
      <c r="P237" s="9">
        <v>151</v>
      </c>
      <c r="Q237" s="9">
        <v>421</v>
      </c>
      <c r="R237" s="9">
        <v>309</v>
      </c>
      <c r="S237" s="9">
        <v>151</v>
      </c>
      <c r="T237" s="9">
        <v>110</v>
      </c>
      <c r="U237" s="9">
        <v>23</v>
      </c>
      <c r="V237" s="9">
        <v>600</v>
      </c>
      <c r="W237" s="9">
        <v>350</v>
      </c>
      <c r="X237" s="9">
        <v>150</v>
      </c>
      <c r="Y237" s="9">
        <v>100</v>
      </c>
      <c r="Z237" s="9"/>
      <c r="AA237" s="9" t="s">
        <v>361</v>
      </c>
    </row>
    <row r="238" spans="1:27" x14ac:dyDescent="0.25">
      <c r="A238" s="9" t="s">
        <v>426</v>
      </c>
      <c r="B238" s="9" t="s">
        <v>359</v>
      </c>
      <c r="C238" s="9" t="s">
        <v>428</v>
      </c>
      <c r="D238" s="9">
        <v>75</v>
      </c>
      <c r="E238" s="9">
        <v>750</v>
      </c>
      <c r="F238" s="12">
        <v>592</v>
      </c>
      <c r="G238" s="12">
        <v>592</v>
      </c>
      <c r="H238" s="9"/>
      <c r="I238" s="9"/>
      <c r="J238" s="12">
        <v>461</v>
      </c>
      <c r="K238" s="12">
        <v>461</v>
      </c>
      <c r="L238" s="18"/>
      <c r="M238" s="18"/>
      <c r="N238" s="9"/>
      <c r="O238" s="9">
        <v>585</v>
      </c>
      <c r="P238" s="9">
        <v>163</v>
      </c>
      <c r="Q238" s="9">
        <v>456</v>
      </c>
      <c r="R238" s="9">
        <v>342</v>
      </c>
      <c r="S238" s="9">
        <v>163</v>
      </c>
      <c r="T238" s="9">
        <v>165</v>
      </c>
      <c r="U238" s="9">
        <v>28</v>
      </c>
      <c r="V238" s="9">
        <v>900</v>
      </c>
      <c r="W238" s="9">
        <v>525</v>
      </c>
      <c r="X238" s="9">
        <v>150</v>
      </c>
      <c r="Y238" s="9">
        <v>100</v>
      </c>
      <c r="Z238" s="9"/>
      <c r="AA238" s="9" t="s">
        <v>361</v>
      </c>
    </row>
    <row r="239" spans="1:27" x14ac:dyDescent="0.25">
      <c r="A239" s="9" t="s">
        <v>426</v>
      </c>
      <c r="B239" s="9" t="s">
        <v>359</v>
      </c>
      <c r="C239" s="9" t="s">
        <v>429</v>
      </c>
      <c r="D239" s="9">
        <v>100</v>
      </c>
      <c r="E239" s="9">
        <v>1000</v>
      </c>
      <c r="F239" s="12">
        <v>630</v>
      </c>
      <c r="G239" s="12">
        <v>630</v>
      </c>
      <c r="H239" s="9"/>
      <c r="I239" s="9"/>
      <c r="J239" s="12">
        <v>491</v>
      </c>
      <c r="K239" s="12">
        <v>491</v>
      </c>
      <c r="L239" s="18"/>
      <c r="M239" s="18"/>
      <c r="N239" s="9"/>
      <c r="O239" s="9">
        <v>630</v>
      </c>
      <c r="P239" s="9">
        <v>176</v>
      </c>
      <c r="Q239" s="9">
        <v>491</v>
      </c>
      <c r="R239" s="9">
        <v>374</v>
      </c>
      <c r="S239" s="9">
        <v>176</v>
      </c>
      <c r="T239" s="9">
        <v>220</v>
      </c>
      <c r="U239" s="9">
        <v>33</v>
      </c>
      <c r="V239" s="9">
        <v>1200</v>
      </c>
      <c r="W239" s="9">
        <v>700</v>
      </c>
      <c r="X239" s="9">
        <v>150</v>
      </c>
      <c r="Y239" s="9">
        <v>100</v>
      </c>
      <c r="Z239" s="9"/>
      <c r="AA239" s="9" t="s">
        <v>361</v>
      </c>
    </row>
    <row r="240" spans="1:27" x14ac:dyDescent="0.25">
      <c r="A240" s="9" t="s">
        <v>426</v>
      </c>
      <c r="B240" s="9" t="s">
        <v>359</v>
      </c>
      <c r="C240" s="9" t="s">
        <v>430</v>
      </c>
      <c r="D240" s="9">
        <v>130</v>
      </c>
      <c r="E240" s="9">
        <v>1300</v>
      </c>
      <c r="F240" s="12">
        <v>669</v>
      </c>
      <c r="G240" s="12">
        <v>669</v>
      </c>
      <c r="H240" s="9"/>
      <c r="I240" s="9"/>
      <c r="J240" s="12">
        <v>521</v>
      </c>
      <c r="K240" s="12">
        <v>521</v>
      </c>
      <c r="L240" s="18"/>
      <c r="M240" s="18"/>
      <c r="N240" s="9"/>
      <c r="O240" s="9">
        <v>684</v>
      </c>
      <c r="P240" s="9">
        <v>191</v>
      </c>
      <c r="Q240" s="9">
        <v>533</v>
      </c>
      <c r="R240" s="9">
        <v>413</v>
      </c>
      <c r="S240" s="9">
        <v>191</v>
      </c>
      <c r="T240" s="9">
        <v>286</v>
      </c>
      <c r="U240" s="9">
        <v>37</v>
      </c>
      <c r="V240" s="9">
        <v>1560</v>
      </c>
      <c r="W240" s="9">
        <v>910</v>
      </c>
      <c r="X240" s="9">
        <v>150</v>
      </c>
      <c r="Y240" s="9">
        <v>100</v>
      </c>
      <c r="Z240" s="9"/>
      <c r="AA240" s="9" t="s">
        <v>361</v>
      </c>
    </row>
    <row r="241" spans="1:27" x14ac:dyDescent="0.25">
      <c r="A241" s="9" t="s">
        <v>426</v>
      </c>
      <c r="B241" s="9" t="s">
        <v>359</v>
      </c>
      <c r="C241" s="9" t="s">
        <v>431</v>
      </c>
      <c r="D241" s="9">
        <v>180</v>
      </c>
      <c r="E241" s="9">
        <v>1800</v>
      </c>
      <c r="F241" s="12">
        <v>725</v>
      </c>
      <c r="G241" s="12">
        <v>725</v>
      </c>
      <c r="H241" s="9"/>
      <c r="I241" s="9"/>
      <c r="J241" s="12">
        <v>565</v>
      </c>
      <c r="K241" s="12">
        <v>565</v>
      </c>
      <c r="L241" s="18"/>
      <c r="M241" s="18"/>
      <c r="N241" s="9"/>
      <c r="O241" s="9">
        <v>774</v>
      </c>
      <c r="P241" s="9">
        <v>216</v>
      </c>
      <c r="Q241" s="9">
        <v>603</v>
      </c>
      <c r="R241" s="9">
        <v>478</v>
      </c>
      <c r="S241" s="9">
        <v>216</v>
      </c>
      <c r="T241" s="9">
        <v>396</v>
      </c>
      <c r="U241" s="9">
        <v>44</v>
      </c>
      <c r="V241" s="9">
        <v>2160</v>
      </c>
      <c r="W241" s="9">
        <v>1260</v>
      </c>
      <c r="X241" s="9">
        <v>150</v>
      </c>
      <c r="Y241" s="9">
        <v>100</v>
      </c>
      <c r="Z241" s="9"/>
      <c r="AA241" s="9" t="s">
        <v>361</v>
      </c>
    </row>
    <row r="242" spans="1:27" x14ac:dyDescent="0.25">
      <c r="A242" s="9" t="s">
        <v>426</v>
      </c>
      <c r="B242" s="9" t="s">
        <v>359</v>
      </c>
      <c r="C242" s="9" t="s">
        <v>432</v>
      </c>
      <c r="D242" s="9">
        <v>230</v>
      </c>
      <c r="E242" s="9">
        <v>2300</v>
      </c>
      <c r="F242" s="12">
        <v>774</v>
      </c>
      <c r="G242" s="12">
        <v>774</v>
      </c>
      <c r="H242" s="9"/>
      <c r="I242" s="9"/>
      <c r="J242" s="12">
        <v>603</v>
      </c>
      <c r="K242" s="12">
        <v>603</v>
      </c>
      <c r="L242" s="18"/>
      <c r="M242" s="18"/>
      <c r="N242" s="9"/>
      <c r="O242" s="9">
        <v>864</v>
      </c>
      <c r="P242" s="9">
        <v>241</v>
      </c>
      <c r="Q242" s="9">
        <v>673</v>
      </c>
      <c r="R242" s="9">
        <v>543</v>
      </c>
      <c r="S242" s="9">
        <v>241</v>
      </c>
      <c r="T242" s="9">
        <v>506</v>
      </c>
      <c r="U242" s="9">
        <v>49</v>
      </c>
      <c r="V242" s="9">
        <v>2760</v>
      </c>
      <c r="W242" s="9">
        <v>1610</v>
      </c>
      <c r="X242" s="9">
        <v>200</v>
      </c>
      <c r="Y242" s="9">
        <v>125</v>
      </c>
      <c r="Z242" s="9"/>
      <c r="AA242" s="9" t="s">
        <v>361</v>
      </c>
    </row>
    <row r="243" spans="1:27" x14ac:dyDescent="0.25">
      <c r="A243" s="9" t="s">
        <v>426</v>
      </c>
      <c r="B243" s="9" t="s">
        <v>359</v>
      </c>
      <c r="C243" s="9" t="s">
        <v>433</v>
      </c>
      <c r="D243" s="9">
        <v>280</v>
      </c>
      <c r="E243" s="9">
        <v>2800</v>
      </c>
      <c r="F243" s="12">
        <v>818</v>
      </c>
      <c r="G243" s="12">
        <v>818</v>
      </c>
      <c r="H243" s="9"/>
      <c r="I243" s="9"/>
      <c r="J243" s="12">
        <v>638</v>
      </c>
      <c r="K243" s="12">
        <v>638</v>
      </c>
      <c r="L243" s="18"/>
      <c r="M243" s="18"/>
      <c r="N243" s="9"/>
      <c r="O243" s="9">
        <v>954</v>
      </c>
      <c r="P243" s="9">
        <v>267</v>
      </c>
      <c r="Q243" s="9">
        <v>744</v>
      </c>
      <c r="R243" s="9">
        <v>607</v>
      </c>
      <c r="S243" s="9">
        <v>267</v>
      </c>
      <c r="T243" s="9">
        <v>616</v>
      </c>
      <c r="U243" s="9">
        <v>55</v>
      </c>
      <c r="V243" s="9">
        <v>3360</v>
      </c>
      <c r="W243" s="9">
        <v>1960</v>
      </c>
      <c r="X243" s="9">
        <v>200</v>
      </c>
      <c r="Y243" s="9">
        <v>125</v>
      </c>
      <c r="Z243" s="9"/>
      <c r="AA243" s="9" t="s">
        <v>361</v>
      </c>
    </row>
    <row r="244" spans="1:27" x14ac:dyDescent="0.25">
      <c r="A244" s="9" t="s">
        <v>426</v>
      </c>
      <c r="B244" s="9" t="s">
        <v>359</v>
      </c>
      <c r="C244" s="9" t="s">
        <v>434</v>
      </c>
      <c r="D244" s="9">
        <v>350</v>
      </c>
      <c r="E244" s="9">
        <v>3500</v>
      </c>
      <c r="F244" s="12">
        <v>873</v>
      </c>
      <c r="G244" s="12">
        <v>873</v>
      </c>
      <c r="H244" s="9"/>
      <c r="I244" s="9"/>
      <c r="J244" s="12">
        <v>680</v>
      </c>
      <c r="K244" s="12">
        <v>680</v>
      </c>
      <c r="L244" s="18"/>
      <c r="M244" s="18"/>
      <c r="N244" s="9"/>
      <c r="O244" s="9">
        <v>1080</v>
      </c>
      <c r="P244" s="9">
        <v>302</v>
      </c>
      <c r="Q244" s="9">
        <v>842</v>
      </c>
      <c r="R244" s="9">
        <v>698</v>
      </c>
      <c r="S244" s="9">
        <v>302</v>
      </c>
      <c r="T244" s="9">
        <v>770</v>
      </c>
      <c r="U244" s="9">
        <v>61</v>
      </c>
      <c r="V244" s="9">
        <v>4200</v>
      </c>
      <c r="W244" s="9">
        <v>2450</v>
      </c>
      <c r="X244" s="9">
        <v>200</v>
      </c>
      <c r="Y244" s="9">
        <v>125</v>
      </c>
      <c r="Z244" s="9"/>
      <c r="AA244" s="9" t="s">
        <v>361</v>
      </c>
    </row>
    <row r="245" spans="1:27" x14ac:dyDescent="0.25">
      <c r="A245" s="9" t="s">
        <v>426</v>
      </c>
      <c r="B245" s="9" t="s">
        <v>359</v>
      </c>
      <c r="C245" s="9" t="s">
        <v>435</v>
      </c>
      <c r="D245" s="9">
        <v>450</v>
      </c>
      <c r="E245" s="9">
        <v>4500</v>
      </c>
      <c r="F245" s="12">
        <v>943</v>
      </c>
      <c r="G245" s="12">
        <v>943</v>
      </c>
      <c r="H245" s="9"/>
      <c r="I245" s="9"/>
      <c r="J245" s="12">
        <v>735</v>
      </c>
      <c r="K245" s="12">
        <v>735</v>
      </c>
      <c r="L245" s="18"/>
      <c r="M245" s="18"/>
      <c r="N245" s="9"/>
      <c r="O245" s="9">
        <v>1260</v>
      </c>
      <c r="P245" s="9">
        <v>352</v>
      </c>
      <c r="Q245" s="9">
        <v>982</v>
      </c>
      <c r="R245" s="9">
        <v>828</v>
      </c>
      <c r="S245" s="9">
        <v>352</v>
      </c>
      <c r="T245" s="9">
        <v>990</v>
      </c>
      <c r="U245" s="9">
        <v>69</v>
      </c>
      <c r="V245" s="9">
        <v>5400</v>
      </c>
      <c r="W245" s="9">
        <v>3150</v>
      </c>
      <c r="X245" s="9">
        <v>200</v>
      </c>
      <c r="Y245" s="9">
        <v>125</v>
      </c>
      <c r="Z245" s="9"/>
      <c r="AA245" s="9" t="s">
        <v>361</v>
      </c>
    </row>
    <row r="246" spans="1:27" x14ac:dyDescent="0.25">
      <c r="A246" s="9" t="s">
        <v>426</v>
      </c>
      <c r="B246" s="9" t="s">
        <v>359</v>
      </c>
      <c r="C246" s="9" t="s">
        <v>436</v>
      </c>
      <c r="D246" s="9">
        <v>550</v>
      </c>
      <c r="E246" s="9">
        <v>5500</v>
      </c>
      <c r="F246" s="12">
        <v>1006</v>
      </c>
      <c r="G246" s="12">
        <v>1006</v>
      </c>
      <c r="H246" s="9"/>
      <c r="I246" s="9"/>
      <c r="J246" s="12">
        <v>784</v>
      </c>
      <c r="K246" s="12">
        <v>784</v>
      </c>
      <c r="L246" s="18"/>
      <c r="M246" s="18"/>
      <c r="N246" s="9"/>
      <c r="O246" s="9">
        <v>1440</v>
      </c>
      <c r="P246" s="9">
        <v>403</v>
      </c>
      <c r="Q246" s="9">
        <v>1123</v>
      </c>
      <c r="R246" s="9">
        <v>957</v>
      </c>
      <c r="S246" s="9">
        <v>403</v>
      </c>
      <c r="T246" s="9">
        <v>1210</v>
      </c>
      <c r="U246" s="9">
        <v>77</v>
      </c>
      <c r="V246" s="9">
        <v>6600</v>
      </c>
      <c r="W246" s="9">
        <v>3850</v>
      </c>
      <c r="X246" s="9">
        <v>250</v>
      </c>
      <c r="Y246" s="9">
        <v>160</v>
      </c>
      <c r="Z246" s="9"/>
      <c r="AA246" s="9" t="s">
        <v>361</v>
      </c>
    </row>
    <row r="247" spans="1:27" x14ac:dyDescent="0.25">
      <c r="A247" s="8" t="s">
        <v>90</v>
      </c>
      <c r="B247" t="s">
        <v>328</v>
      </c>
      <c r="C247" t="s">
        <v>329</v>
      </c>
      <c r="F247" s="11"/>
      <c r="G247" s="11"/>
      <c r="J247" s="11"/>
      <c r="K247" s="11"/>
      <c r="L247" s="17"/>
      <c r="M247" s="17"/>
    </row>
    <row r="248" spans="1:27" x14ac:dyDescent="0.25">
      <c r="A248" t="s">
        <v>90</v>
      </c>
      <c r="B248" t="s">
        <v>92</v>
      </c>
      <c r="C248" t="s">
        <v>93</v>
      </c>
      <c r="D248">
        <v>143</v>
      </c>
      <c r="E248">
        <f t="shared" ref="E248:E284" si="4">D248*10</f>
        <v>1430</v>
      </c>
      <c r="F248" s="11">
        <v>750</v>
      </c>
      <c r="G248" s="11">
        <v>680</v>
      </c>
      <c r="J248" s="11">
        <v>510</v>
      </c>
      <c r="K248" s="11">
        <v>510</v>
      </c>
      <c r="L248" s="17"/>
      <c r="M248" s="17"/>
      <c r="O248">
        <v>800</v>
      </c>
      <c r="P248">
        <v>250</v>
      </c>
      <c r="Q248">
        <v>550</v>
      </c>
      <c r="R248">
        <v>500</v>
      </c>
      <c r="T248">
        <v>214.5</v>
      </c>
      <c r="U248">
        <v>23.9</v>
      </c>
      <c r="AA248" t="s">
        <v>94</v>
      </c>
    </row>
    <row r="249" spans="1:27" x14ac:dyDescent="0.25">
      <c r="A249" t="s">
        <v>90</v>
      </c>
      <c r="B249" t="s">
        <v>92</v>
      </c>
      <c r="C249" t="s">
        <v>95</v>
      </c>
      <c r="D249">
        <v>198</v>
      </c>
      <c r="E249">
        <f t="shared" si="4"/>
        <v>1980</v>
      </c>
      <c r="F249" s="11">
        <v>830</v>
      </c>
      <c r="G249" s="11">
        <v>760</v>
      </c>
      <c r="J249" s="11">
        <v>560</v>
      </c>
      <c r="K249" s="11">
        <v>560</v>
      </c>
      <c r="L249" s="17"/>
      <c r="M249" s="17"/>
      <c r="O249">
        <v>900</v>
      </c>
      <c r="P249">
        <v>300</v>
      </c>
      <c r="Q249">
        <v>600</v>
      </c>
      <c r="R249">
        <v>600</v>
      </c>
      <c r="T249">
        <v>297</v>
      </c>
      <c r="U249">
        <v>28.1</v>
      </c>
      <c r="AA249" t="s">
        <v>96</v>
      </c>
    </row>
    <row r="250" spans="1:27" x14ac:dyDescent="0.25">
      <c r="A250" t="s">
        <v>90</v>
      </c>
      <c r="B250" t="s">
        <v>92</v>
      </c>
      <c r="C250" t="s">
        <v>97</v>
      </c>
      <c r="D250">
        <v>242</v>
      </c>
      <c r="E250">
        <f t="shared" si="4"/>
        <v>2420</v>
      </c>
      <c r="F250" s="11">
        <v>880</v>
      </c>
      <c r="G250" s="11">
        <v>810</v>
      </c>
      <c r="J250" s="11">
        <v>610</v>
      </c>
      <c r="K250" s="11">
        <v>610</v>
      </c>
      <c r="L250" s="17"/>
      <c r="M250" s="17"/>
      <c r="O250">
        <v>1000</v>
      </c>
      <c r="P250">
        <v>300</v>
      </c>
      <c r="Q250">
        <v>700</v>
      </c>
      <c r="R250">
        <v>700</v>
      </c>
      <c r="T250">
        <v>363</v>
      </c>
      <c r="U250">
        <v>31.1</v>
      </c>
      <c r="AA250" t="s">
        <v>98</v>
      </c>
    </row>
    <row r="251" spans="1:27" x14ac:dyDescent="0.25">
      <c r="A251" t="s">
        <v>90</v>
      </c>
      <c r="B251" t="s">
        <v>92</v>
      </c>
      <c r="C251" t="s">
        <v>99</v>
      </c>
      <c r="D251">
        <v>308</v>
      </c>
      <c r="E251">
        <f t="shared" si="4"/>
        <v>3080</v>
      </c>
      <c r="F251" s="11">
        <v>950</v>
      </c>
      <c r="G251" s="11">
        <v>850</v>
      </c>
      <c r="J251" s="11">
        <v>660</v>
      </c>
      <c r="K251" s="11">
        <v>660</v>
      </c>
      <c r="L251" s="17"/>
      <c r="M251" s="17"/>
      <c r="O251">
        <v>1100</v>
      </c>
      <c r="P251">
        <v>350</v>
      </c>
      <c r="Q251">
        <v>750</v>
      </c>
      <c r="R251">
        <v>750</v>
      </c>
      <c r="T251">
        <v>462</v>
      </c>
      <c r="U251">
        <v>35.1</v>
      </c>
      <c r="AA251" t="s">
        <v>100</v>
      </c>
    </row>
    <row r="252" spans="1:27" x14ac:dyDescent="0.25">
      <c r="A252" t="s">
        <v>90</v>
      </c>
      <c r="B252" t="s">
        <v>92</v>
      </c>
      <c r="C252" t="s">
        <v>101</v>
      </c>
      <c r="D252">
        <v>385</v>
      </c>
      <c r="E252">
        <f t="shared" si="4"/>
        <v>3850</v>
      </c>
      <c r="F252" s="11">
        <v>1050</v>
      </c>
      <c r="G252" s="11">
        <v>950</v>
      </c>
      <c r="J252" s="11">
        <v>710</v>
      </c>
      <c r="K252" s="11">
        <v>710</v>
      </c>
      <c r="L252" s="17"/>
      <c r="M252" s="17"/>
      <c r="O252">
        <v>1200</v>
      </c>
      <c r="P252">
        <v>400</v>
      </c>
      <c r="Q252">
        <v>800</v>
      </c>
      <c r="R252">
        <v>800</v>
      </c>
      <c r="T252">
        <v>577.5</v>
      </c>
      <c r="U252">
        <v>39.200000000000003</v>
      </c>
      <c r="AA252" t="s">
        <v>102</v>
      </c>
    </row>
    <row r="253" spans="1:27" x14ac:dyDescent="0.25">
      <c r="A253" t="s">
        <v>90</v>
      </c>
      <c r="B253" t="s">
        <v>103</v>
      </c>
      <c r="C253" t="s">
        <v>104</v>
      </c>
      <c r="D253">
        <v>33</v>
      </c>
      <c r="E253">
        <f t="shared" si="4"/>
        <v>330</v>
      </c>
      <c r="F253" s="11">
        <v>450</v>
      </c>
      <c r="G253" s="11">
        <v>420</v>
      </c>
      <c r="J253" s="11">
        <v>300</v>
      </c>
      <c r="K253" s="11">
        <v>300</v>
      </c>
      <c r="L253" s="17"/>
      <c r="M253" s="17"/>
      <c r="O253">
        <v>500</v>
      </c>
      <c r="P253">
        <v>150</v>
      </c>
      <c r="Q253">
        <v>300</v>
      </c>
      <c r="R253">
        <v>300</v>
      </c>
      <c r="T253">
        <v>49.5</v>
      </c>
      <c r="U253">
        <v>11.5</v>
      </c>
      <c r="AA253" t="s">
        <v>105</v>
      </c>
    </row>
    <row r="254" spans="1:27" x14ac:dyDescent="0.25">
      <c r="A254" t="s">
        <v>90</v>
      </c>
      <c r="B254" t="s">
        <v>103</v>
      </c>
      <c r="C254" t="s">
        <v>106</v>
      </c>
      <c r="D254">
        <v>55</v>
      </c>
      <c r="E254">
        <f t="shared" si="4"/>
        <v>550</v>
      </c>
      <c r="F254" s="11">
        <v>560</v>
      </c>
      <c r="G254" s="11">
        <v>510</v>
      </c>
      <c r="J254" s="11">
        <v>360</v>
      </c>
      <c r="K254" s="11">
        <v>360</v>
      </c>
      <c r="L254" s="17"/>
      <c r="M254" s="17"/>
      <c r="O254">
        <v>600</v>
      </c>
      <c r="P254">
        <v>200</v>
      </c>
      <c r="Q254">
        <v>400</v>
      </c>
      <c r="R254">
        <v>350</v>
      </c>
      <c r="T254">
        <v>82.5</v>
      </c>
      <c r="U254">
        <v>14.8</v>
      </c>
      <c r="AA254" t="s">
        <v>107</v>
      </c>
    </row>
    <row r="255" spans="1:27" x14ac:dyDescent="0.25">
      <c r="A255" t="s">
        <v>90</v>
      </c>
      <c r="B255" t="s">
        <v>103</v>
      </c>
      <c r="C255" t="s">
        <v>108</v>
      </c>
      <c r="D255">
        <v>75</v>
      </c>
      <c r="E255">
        <f t="shared" si="4"/>
        <v>750</v>
      </c>
      <c r="F255" s="11">
        <v>630</v>
      </c>
      <c r="G255" s="11">
        <v>580</v>
      </c>
      <c r="J255" s="11">
        <v>410</v>
      </c>
      <c r="K255" s="11">
        <v>410</v>
      </c>
      <c r="L255" s="17"/>
      <c r="M255" s="17"/>
      <c r="O255">
        <v>700</v>
      </c>
      <c r="P255">
        <v>200</v>
      </c>
      <c r="Q255">
        <v>450</v>
      </c>
      <c r="R255">
        <v>400</v>
      </c>
      <c r="T255">
        <v>112.5</v>
      </c>
      <c r="U255">
        <v>17.3</v>
      </c>
      <c r="AA255" t="s">
        <v>109</v>
      </c>
    </row>
    <row r="256" spans="1:27" x14ac:dyDescent="0.25">
      <c r="A256" t="s">
        <v>90</v>
      </c>
      <c r="B256" t="s">
        <v>103</v>
      </c>
      <c r="C256" t="s">
        <v>110</v>
      </c>
      <c r="D256">
        <v>143</v>
      </c>
      <c r="E256">
        <f t="shared" si="4"/>
        <v>1430</v>
      </c>
      <c r="F256" s="11">
        <v>750</v>
      </c>
      <c r="G256" s="11">
        <v>680</v>
      </c>
      <c r="J256" s="11">
        <v>510</v>
      </c>
      <c r="K256" s="11">
        <v>510</v>
      </c>
      <c r="L256" s="17"/>
      <c r="M256" s="17"/>
      <c r="O256">
        <v>800</v>
      </c>
      <c r="P256">
        <v>250</v>
      </c>
      <c r="Q256">
        <v>550</v>
      </c>
      <c r="R256">
        <v>500</v>
      </c>
      <c r="T256">
        <v>214.5</v>
      </c>
      <c r="U256">
        <v>23.9</v>
      </c>
      <c r="AA256" t="s">
        <v>39</v>
      </c>
    </row>
    <row r="257" spans="1:27" x14ac:dyDescent="0.25">
      <c r="A257" t="s">
        <v>90</v>
      </c>
      <c r="B257" t="s">
        <v>103</v>
      </c>
      <c r="C257" t="s">
        <v>111</v>
      </c>
      <c r="D257">
        <v>198</v>
      </c>
      <c r="E257">
        <f t="shared" si="4"/>
        <v>1980</v>
      </c>
      <c r="F257" s="11">
        <v>830</v>
      </c>
      <c r="G257" s="11">
        <v>760</v>
      </c>
      <c r="J257" s="11">
        <v>560</v>
      </c>
      <c r="K257" s="11">
        <v>560</v>
      </c>
      <c r="L257" s="17"/>
      <c r="M257" s="17"/>
      <c r="O257">
        <v>900</v>
      </c>
      <c r="P257">
        <v>300</v>
      </c>
      <c r="Q257">
        <v>600</v>
      </c>
      <c r="R257">
        <v>600</v>
      </c>
      <c r="T257">
        <v>297</v>
      </c>
      <c r="U257">
        <v>28.1</v>
      </c>
      <c r="AA257" t="s">
        <v>112</v>
      </c>
    </row>
    <row r="258" spans="1:27" x14ac:dyDescent="0.25">
      <c r="A258" t="s">
        <v>90</v>
      </c>
      <c r="B258" t="s">
        <v>103</v>
      </c>
      <c r="C258" t="s">
        <v>113</v>
      </c>
      <c r="D258">
        <v>308</v>
      </c>
      <c r="E258">
        <f t="shared" si="4"/>
        <v>3080</v>
      </c>
      <c r="F258" s="11">
        <v>900</v>
      </c>
      <c r="G258" s="11">
        <v>840</v>
      </c>
      <c r="J258" s="11">
        <v>610</v>
      </c>
      <c r="K258" s="11">
        <v>610</v>
      </c>
      <c r="L258" s="17"/>
      <c r="M258" s="17"/>
      <c r="O258">
        <v>1000</v>
      </c>
      <c r="P258">
        <v>300</v>
      </c>
      <c r="Q258">
        <v>700</v>
      </c>
      <c r="R258">
        <v>700</v>
      </c>
      <c r="T258">
        <v>462</v>
      </c>
      <c r="U258">
        <v>35.1</v>
      </c>
      <c r="AA258" t="s">
        <v>65</v>
      </c>
    </row>
    <row r="259" spans="1:27" x14ac:dyDescent="0.25">
      <c r="A259" t="s">
        <v>90</v>
      </c>
      <c r="B259" t="s">
        <v>103</v>
      </c>
      <c r="C259" t="s">
        <v>114</v>
      </c>
      <c r="D259">
        <v>385</v>
      </c>
      <c r="E259">
        <f t="shared" si="4"/>
        <v>3850</v>
      </c>
      <c r="F259" s="11">
        <v>1020</v>
      </c>
      <c r="G259" s="11">
        <v>950</v>
      </c>
      <c r="J259" s="11">
        <v>710</v>
      </c>
      <c r="K259" s="11">
        <v>710</v>
      </c>
      <c r="L259" s="17"/>
      <c r="M259" s="17"/>
      <c r="O259">
        <v>1200</v>
      </c>
      <c r="P259">
        <v>350</v>
      </c>
      <c r="Q259">
        <v>800</v>
      </c>
      <c r="R259">
        <v>800</v>
      </c>
      <c r="T259">
        <v>577.5</v>
      </c>
      <c r="U259">
        <v>39.200000000000003</v>
      </c>
      <c r="AA259" t="s">
        <v>115</v>
      </c>
    </row>
    <row r="260" spans="1:27" x14ac:dyDescent="0.25">
      <c r="A260" t="s">
        <v>90</v>
      </c>
      <c r="B260" t="s">
        <v>116</v>
      </c>
      <c r="C260" t="s">
        <v>117</v>
      </c>
      <c r="D260">
        <v>220</v>
      </c>
      <c r="E260">
        <f t="shared" si="4"/>
        <v>2200</v>
      </c>
      <c r="F260" s="11">
        <v>880</v>
      </c>
      <c r="G260" s="11">
        <v>810</v>
      </c>
      <c r="J260" s="11">
        <v>610</v>
      </c>
      <c r="K260" s="11">
        <v>610</v>
      </c>
      <c r="L260" s="17"/>
      <c r="M260" s="17"/>
      <c r="O260">
        <v>1000</v>
      </c>
      <c r="P260">
        <v>300</v>
      </c>
      <c r="Q260">
        <v>700</v>
      </c>
      <c r="R260">
        <v>700</v>
      </c>
      <c r="T260">
        <v>330</v>
      </c>
      <c r="U260">
        <v>29.7</v>
      </c>
      <c r="AA260" t="s">
        <v>118</v>
      </c>
    </row>
    <row r="261" spans="1:27" x14ac:dyDescent="0.25">
      <c r="A261" t="s">
        <v>90</v>
      </c>
      <c r="B261" t="s">
        <v>116</v>
      </c>
      <c r="C261" t="s">
        <v>119</v>
      </c>
      <c r="D261">
        <v>350</v>
      </c>
      <c r="E261">
        <f t="shared" si="4"/>
        <v>3500</v>
      </c>
      <c r="F261" s="11">
        <v>1050</v>
      </c>
      <c r="G261" s="11">
        <v>950</v>
      </c>
      <c r="J261" s="11">
        <v>710</v>
      </c>
      <c r="K261" s="11">
        <v>710</v>
      </c>
      <c r="L261" s="17"/>
      <c r="M261" s="17"/>
      <c r="O261">
        <v>1200</v>
      </c>
      <c r="P261">
        <v>400</v>
      </c>
      <c r="Q261">
        <v>800</v>
      </c>
      <c r="R261">
        <v>800</v>
      </c>
      <c r="T261">
        <v>525</v>
      </c>
      <c r="U261">
        <v>37.4</v>
      </c>
      <c r="AA261" t="s">
        <v>120</v>
      </c>
    </row>
    <row r="262" spans="1:27" x14ac:dyDescent="0.25">
      <c r="A262" t="s">
        <v>90</v>
      </c>
      <c r="B262" t="s">
        <v>116</v>
      </c>
      <c r="C262" t="s">
        <v>121</v>
      </c>
      <c r="D262">
        <v>450</v>
      </c>
      <c r="E262">
        <f t="shared" si="4"/>
        <v>4500</v>
      </c>
      <c r="F262" s="11">
        <v>1150</v>
      </c>
      <c r="G262" s="11">
        <v>1050</v>
      </c>
      <c r="J262" s="11">
        <v>820</v>
      </c>
      <c r="K262" s="11">
        <v>820</v>
      </c>
      <c r="L262" s="17"/>
      <c r="M262" s="17"/>
      <c r="O262">
        <v>1300</v>
      </c>
      <c r="P262">
        <v>400</v>
      </c>
      <c r="Q262">
        <v>900</v>
      </c>
      <c r="R262">
        <v>900</v>
      </c>
      <c r="T262">
        <v>675</v>
      </c>
      <c r="U262">
        <v>42.4</v>
      </c>
      <c r="AA262" t="s">
        <v>122</v>
      </c>
    </row>
    <row r="263" spans="1:27" x14ac:dyDescent="0.25">
      <c r="A263" t="s">
        <v>90</v>
      </c>
      <c r="B263" t="s">
        <v>116</v>
      </c>
      <c r="C263" t="s">
        <v>123</v>
      </c>
      <c r="D263">
        <v>500</v>
      </c>
      <c r="E263">
        <f t="shared" si="4"/>
        <v>5000</v>
      </c>
      <c r="F263" s="11">
        <v>1250</v>
      </c>
      <c r="G263" s="11">
        <v>1150</v>
      </c>
      <c r="J263" s="11">
        <v>920</v>
      </c>
      <c r="K263" s="11">
        <v>920</v>
      </c>
      <c r="L263" s="17"/>
      <c r="M263" s="17"/>
      <c r="O263">
        <v>1400</v>
      </c>
      <c r="P263">
        <v>450</v>
      </c>
      <c r="Q263">
        <v>1000</v>
      </c>
      <c r="R263">
        <v>1000</v>
      </c>
      <c r="T263">
        <v>750</v>
      </c>
      <c r="U263">
        <v>44.7</v>
      </c>
      <c r="AA263" t="s">
        <v>124</v>
      </c>
    </row>
    <row r="264" spans="1:27" x14ac:dyDescent="0.25">
      <c r="A264" t="s">
        <v>90</v>
      </c>
      <c r="B264" t="s">
        <v>125</v>
      </c>
      <c r="C264" t="s">
        <v>126</v>
      </c>
      <c r="D264">
        <v>231</v>
      </c>
      <c r="E264">
        <f t="shared" si="4"/>
        <v>2310</v>
      </c>
      <c r="F264" s="11">
        <v>880</v>
      </c>
      <c r="G264" s="11">
        <v>810</v>
      </c>
      <c r="J264" s="11">
        <v>610</v>
      </c>
      <c r="K264" s="11">
        <v>610</v>
      </c>
      <c r="L264" s="17"/>
      <c r="M264" s="17"/>
      <c r="O264">
        <v>1000</v>
      </c>
      <c r="P264">
        <v>300</v>
      </c>
      <c r="Q264">
        <v>700</v>
      </c>
      <c r="R264">
        <v>700</v>
      </c>
      <c r="T264">
        <v>346.5</v>
      </c>
      <c r="U264">
        <v>30.4</v>
      </c>
      <c r="AA264" t="s">
        <v>127</v>
      </c>
    </row>
    <row r="265" spans="1:27" x14ac:dyDescent="0.25">
      <c r="A265" t="s">
        <v>90</v>
      </c>
      <c r="B265" t="s">
        <v>125</v>
      </c>
      <c r="C265" t="s">
        <v>128</v>
      </c>
      <c r="D265">
        <v>308</v>
      </c>
      <c r="E265">
        <f t="shared" si="4"/>
        <v>3080</v>
      </c>
      <c r="F265" s="11">
        <v>950</v>
      </c>
      <c r="G265" s="11">
        <v>850</v>
      </c>
      <c r="J265" s="11">
        <v>660</v>
      </c>
      <c r="K265" s="11">
        <v>660</v>
      </c>
      <c r="L265" s="17"/>
      <c r="M265" s="17"/>
      <c r="O265">
        <v>1100</v>
      </c>
      <c r="P265">
        <v>350</v>
      </c>
      <c r="Q265">
        <v>750</v>
      </c>
      <c r="R265">
        <v>750</v>
      </c>
      <c r="T265">
        <v>462</v>
      </c>
      <c r="U265">
        <v>35.1</v>
      </c>
      <c r="AA265" t="s">
        <v>129</v>
      </c>
    </row>
    <row r="266" spans="1:27" x14ac:dyDescent="0.25">
      <c r="A266" t="s">
        <v>90</v>
      </c>
      <c r="B266" t="s">
        <v>125</v>
      </c>
      <c r="C266" t="s">
        <v>130</v>
      </c>
      <c r="D266">
        <v>385</v>
      </c>
      <c r="E266">
        <f t="shared" si="4"/>
        <v>3850</v>
      </c>
      <c r="F266" s="11">
        <v>1050</v>
      </c>
      <c r="G266" s="11">
        <v>950</v>
      </c>
      <c r="J266" s="11">
        <v>710</v>
      </c>
      <c r="K266" s="11">
        <v>710</v>
      </c>
      <c r="L266" s="17"/>
      <c r="M266" s="17"/>
      <c r="O266">
        <v>1200</v>
      </c>
      <c r="P266">
        <v>400</v>
      </c>
      <c r="Q266">
        <v>800</v>
      </c>
      <c r="R266">
        <v>800</v>
      </c>
      <c r="T266">
        <v>577.5</v>
      </c>
      <c r="U266">
        <v>39.200000000000003</v>
      </c>
      <c r="AA266" t="s">
        <v>42</v>
      </c>
    </row>
    <row r="267" spans="1:27" x14ac:dyDescent="0.25">
      <c r="A267" t="s">
        <v>90</v>
      </c>
      <c r="B267" t="s">
        <v>125</v>
      </c>
      <c r="C267" t="s">
        <v>131</v>
      </c>
      <c r="D267">
        <v>550</v>
      </c>
      <c r="E267">
        <f t="shared" si="4"/>
        <v>5500</v>
      </c>
      <c r="F267" s="11">
        <v>1250</v>
      </c>
      <c r="G267" s="11">
        <v>1150</v>
      </c>
      <c r="J267" s="11">
        <v>920</v>
      </c>
      <c r="K267" s="11">
        <v>920</v>
      </c>
      <c r="L267" s="17"/>
      <c r="M267" s="17"/>
      <c r="O267">
        <v>1400</v>
      </c>
      <c r="P267">
        <v>450</v>
      </c>
      <c r="Q267">
        <v>1000</v>
      </c>
      <c r="R267">
        <v>1000</v>
      </c>
      <c r="T267">
        <v>825</v>
      </c>
      <c r="U267">
        <v>46.9</v>
      </c>
      <c r="AA267" t="s">
        <v>132</v>
      </c>
    </row>
    <row r="268" spans="1:27" x14ac:dyDescent="0.25">
      <c r="A268" t="s">
        <v>190</v>
      </c>
      <c r="B268" t="s">
        <v>191</v>
      </c>
      <c r="C268" t="s">
        <v>196</v>
      </c>
      <c r="D268">
        <v>350</v>
      </c>
      <c r="E268">
        <f t="shared" si="4"/>
        <v>3500</v>
      </c>
      <c r="F268" s="11">
        <v>1050</v>
      </c>
      <c r="G268" s="11">
        <v>950</v>
      </c>
      <c r="J268" s="11">
        <v>710</v>
      </c>
      <c r="K268" s="11">
        <v>710</v>
      </c>
      <c r="L268" s="17"/>
      <c r="M268" s="17"/>
      <c r="O268">
        <v>1200</v>
      </c>
      <c r="P268">
        <v>400</v>
      </c>
      <c r="Q268">
        <v>800</v>
      </c>
      <c r="R268">
        <v>800</v>
      </c>
      <c r="T268">
        <v>525</v>
      </c>
      <c r="U268">
        <v>37.4</v>
      </c>
      <c r="AA268" t="s">
        <v>112</v>
      </c>
    </row>
    <row r="269" spans="1:27" x14ac:dyDescent="0.25">
      <c r="A269" t="s">
        <v>190</v>
      </c>
      <c r="B269" t="s">
        <v>191</v>
      </c>
      <c r="C269" t="s">
        <v>197</v>
      </c>
      <c r="D269">
        <v>460</v>
      </c>
      <c r="E269">
        <f t="shared" si="4"/>
        <v>4600</v>
      </c>
      <c r="F269" s="11">
        <v>1150</v>
      </c>
      <c r="G269" s="11">
        <v>1050</v>
      </c>
      <c r="J269" s="11">
        <v>820</v>
      </c>
      <c r="K269" s="11">
        <v>820</v>
      </c>
      <c r="L269" s="17"/>
      <c r="M269" s="17"/>
      <c r="O269">
        <v>1300</v>
      </c>
      <c r="P269">
        <v>400</v>
      </c>
      <c r="Q269">
        <v>900</v>
      </c>
      <c r="R269">
        <v>900</v>
      </c>
      <c r="T269">
        <v>690</v>
      </c>
      <c r="U269">
        <v>42.9</v>
      </c>
      <c r="AA269" t="s">
        <v>65</v>
      </c>
    </row>
    <row r="270" spans="1:27" x14ac:dyDescent="0.25">
      <c r="A270" t="s">
        <v>190</v>
      </c>
      <c r="B270" t="s">
        <v>191</v>
      </c>
      <c r="C270" t="s">
        <v>198</v>
      </c>
      <c r="D270">
        <v>550</v>
      </c>
      <c r="E270">
        <f t="shared" si="4"/>
        <v>5500</v>
      </c>
      <c r="F270" s="11">
        <v>1250</v>
      </c>
      <c r="G270" s="11">
        <v>1150</v>
      </c>
      <c r="J270" s="11">
        <v>920</v>
      </c>
      <c r="K270" s="11">
        <v>920</v>
      </c>
      <c r="L270" s="17"/>
      <c r="M270" s="17"/>
      <c r="O270">
        <v>1400</v>
      </c>
      <c r="P270">
        <v>450</v>
      </c>
      <c r="Q270">
        <v>1000</v>
      </c>
      <c r="R270">
        <v>1000</v>
      </c>
      <c r="T270">
        <v>825</v>
      </c>
      <c r="U270">
        <v>46.9</v>
      </c>
      <c r="AA270" t="s">
        <v>67</v>
      </c>
    </row>
    <row r="271" spans="1:27" x14ac:dyDescent="0.25">
      <c r="A271" t="s">
        <v>190</v>
      </c>
      <c r="B271" t="s">
        <v>199</v>
      </c>
      <c r="C271" t="s">
        <v>200</v>
      </c>
      <c r="D271">
        <v>130</v>
      </c>
      <c r="E271">
        <f t="shared" si="4"/>
        <v>1300</v>
      </c>
      <c r="F271" s="11">
        <v>750</v>
      </c>
      <c r="G271" s="11">
        <v>700</v>
      </c>
      <c r="J271" s="11">
        <v>500</v>
      </c>
      <c r="K271" s="11">
        <v>500</v>
      </c>
      <c r="L271" s="17"/>
      <c r="M271" s="17"/>
      <c r="O271">
        <v>800</v>
      </c>
      <c r="P271">
        <v>250</v>
      </c>
      <c r="Q271">
        <v>550</v>
      </c>
      <c r="R271">
        <v>500</v>
      </c>
      <c r="T271">
        <v>195</v>
      </c>
      <c r="U271">
        <v>22.8</v>
      </c>
      <c r="AA271" t="s">
        <v>201</v>
      </c>
    </row>
    <row r="272" spans="1:27" x14ac:dyDescent="0.25">
      <c r="A272" t="s">
        <v>190</v>
      </c>
      <c r="B272" t="s">
        <v>199</v>
      </c>
      <c r="C272" t="s">
        <v>202</v>
      </c>
      <c r="D272">
        <v>190</v>
      </c>
      <c r="E272">
        <f t="shared" si="4"/>
        <v>1900</v>
      </c>
      <c r="F272" s="11">
        <v>820</v>
      </c>
      <c r="G272" s="11">
        <v>760</v>
      </c>
      <c r="J272" s="11">
        <v>560</v>
      </c>
      <c r="K272" s="11">
        <v>560</v>
      </c>
      <c r="L272" s="17"/>
      <c r="M272" s="17"/>
      <c r="O272">
        <v>900</v>
      </c>
      <c r="P272">
        <v>300</v>
      </c>
      <c r="Q272">
        <v>600</v>
      </c>
      <c r="R272">
        <v>600</v>
      </c>
      <c r="T272">
        <v>285</v>
      </c>
      <c r="U272">
        <v>27.6</v>
      </c>
      <c r="AA272" t="s">
        <v>203</v>
      </c>
    </row>
    <row r="273" spans="1:27" x14ac:dyDescent="0.25">
      <c r="A273" t="s">
        <v>190</v>
      </c>
      <c r="B273" t="s">
        <v>199</v>
      </c>
      <c r="C273" t="s">
        <v>204</v>
      </c>
      <c r="D273">
        <v>240</v>
      </c>
      <c r="E273">
        <f t="shared" si="4"/>
        <v>2400</v>
      </c>
      <c r="F273" s="11">
        <v>900</v>
      </c>
      <c r="G273" s="11">
        <v>830</v>
      </c>
      <c r="J273" s="11">
        <v>610</v>
      </c>
      <c r="K273" s="11">
        <v>610</v>
      </c>
      <c r="L273" s="17"/>
      <c r="M273" s="17"/>
      <c r="O273">
        <v>1000</v>
      </c>
      <c r="P273">
        <v>300</v>
      </c>
      <c r="Q273">
        <v>700</v>
      </c>
      <c r="R273">
        <v>700</v>
      </c>
      <c r="T273">
        <v>360</v>
      </c>
      <c r="U273">
        <v>31</v>
      </c>
      <c r="AA273" t="s">
        <v>205</v>
      </c>
    </row>
    <row r="274" spans="1:27" x14ac:dyDescent="0.25">
      <c r="A274" t="s">
        <v>190</v>
      </c>
      <c r="B274" t="s">
        <v>199</v>
      </c>
      <c r="C274" t="s">
        <v>206</v>
      </c>
      <c r="D274">
        <v>310</v>
      </c>
      <c r="E274">
        <f t="shared" si="4"/>
        <v>3100</v>
      </c>
      <c r="F274" s="11">
        <v>950</v>
      </c>
      <c r="G274" s="11">
        <v>880</v>
      </c>
      <c r="J274" s="11">
        <v>660</v>
      </c>
      <c r="K274" s="11">
        <v>660</v>
      </c>
      <c r="L274" s="17"/>
      <c r="M274" s="17"/>
      <c r="O274">
        <v>1100</v>
      </c>
      <c r="P274">
        <v>350</v>
      </c>
      <c r="Q274">
        <v>750</v>
      </c>
      <c r="R274">
        <v>750</v>
      </c>
      <c r="T274">
        <v>465</v>
      </c>
      <c r="U274">
        <v>35.200000000000003</v>
      </c>
      <c r="AA274" t="s">
        <v>207</v>
      </c>
    </row>
    <row r="275" spans="1:27" x14ac:dyDescent="0.25">
      <c r="A275" t="s">
        <v>190</v>
      </c>
      <c r="B275" t="s">
        <v>199</v>
      </c>
      <c r="C275" t="s">
        <v>208</v>
      </c>
      <c r="D275">
        <v>350</v>
      </c>
      <c r="E275">
        <f t="shared" si="4"/>
        <v>3500</v>
      </c>
      <c r="F275" s="11">
        <v>1050</v>
      </c>
      <c r="G275" s="11">
        <v>950</v>
      </c>
      <c r="J275" s="11">
        <v>710</v>
      </c>
      <c r="K275" s="11">
        <v>710</v>
      </c>
      <c r="L275" s="17"/>
      <c r="M275" s="17"/>
      <c r="O275">
        <v>1200</v>
      </c>
      <c r="P275">
        <v>400</v>
      </c>
      <c r="Q275">
        <v>800</v>
      </c>
      <c r="R275">
        <v>800</v>
      </c>
      <c r="T275">
        <v>525</v>
      </c>
      <c r="U275">
        <v>37.4</v>
      </c>
      <c r="AA275" t="s">
        <v>209</v>
      </c>
    </row>
    <row r="276" spans="1:27" x14ac:dyDescent="0.25">
      <c r="A276" t="s">
        <v>190</v>
      </c>
      <c r="B276" t="s">
        <v>199</v>
      </c>
      <c r="C276" t="s">
        <v>210</v>
      </c>
      <c r="D276">
        <v>460</v>
      </c>
      <c r="E276">
        <f t="shared" si="4"/>
        <v>4600</v>
      </c>
      <c r="F276" s="11">
        <v>1150</v>
      </c>
      <c r="G276" s="11">
        <v>1050</v>
      </c>
      <c r="J276" s="11">
        <v>820</v>
      </c>
      <c r="K276" s="11">
        <v>820</v>
      </c>
      <c r="L276" s="17"/>
      <c r="M276" s="17"/>
      <c r="O276">
        <v>1300</v>
      </c>
      <c r="P276">
        <v>400</v>
      </c>
      <c r="Q276">
        <v>900</v>
      </c>
      <c r="R276">
        <v>900</v>
      </c>
      <c r="T276">
        <v>690</v>
      </c>
      <c r="U276">
        <v>42.9</v>
      </c>
      <c r="AA276" t="s">
        <v>207</v>
      </c>
    </row>
    <row r="277" spans="1:27" x14ac:dyDescent="0.25">
      <c r="A277" t="s">
        <v>190</v>
      </c>
      <c r="B277" t="s">
        <v>199</v>
      </c>
      <c r="C277" t="s">
        <v>211</v>
      </c>
      <c r="D277">
        <v>550</v>
      </c>
      <c r="E277">
        <f t="shared" si="4"/>
        <v>5500</v>
      </c>
      <c r="F277" s="11">
        <v>1250</v>
      </c>
      <c r="G277" s="11">
        <v>1150</v>
      </c>
      <c r="J277" s="11">
        <v>920</v>
      </c>
      <c r="K277" s="11">
        <v>920</v>
      </c>
      <c r="L277" s="17"/>
      <c r="M277" s="17"/>
      <c r="O277">
        <v>1400</v>
      </c>
      <c r="P277">
        <v>450</v>
      </c>
      <c r="Q277">
        <v>1000</v>
      </c>
      <c r="R277">
        <v>1000</v>
      </c>
      <c r="T277">
        <v>825</v>
      </c>
      <c r="U277">
        <v>46.9</v>
      </c>
      <c r="AA277" t="s">
        <v>80</v>
      </c>
    </row>
    <row r="278" spans="1:27" x14ac:dyDescent="0.25">
      <c r="A278" t="s">
        <v>190</v>
      </c>
      <c r="B278" t="s">
        <v>212</v>
      </c>
      <c r="C278" t="s">
        <v>213</v>
      </c>
      <c r="D278">
        <v>220</v>
      </c>
      <c r="E278">
        <f t="shared" si="4"/>
        <v>2200</v>
      </c>
      <c r="F278" s="11">
        <v>880</v>
      </c>
      <c r="G278" s="11">
        <v>810</v>
      </c>
      <c r="J278" s="11">
        <v>610</v>
      </c>
      <c r="K278" s="11">
        <v>610</v>
      </c>
      <c r="L278" s="17"/>
      <c r="M278" s="17"/>
      <c r="O278">
        <v>1000</v>
      </c>
      <c r="P278">
        <v>300</v>
      </c>
      <c r="Q278">
        <v>700</v>
      </c>
      <c r="R278">
        <v>700</v>
      </c>
      <c r="T278">
        <v>330</v>
      </c>
      <c r="U278">
        <v>29.7</v>
      </c>
      <c r="AA278" t="s">
        <v>214</v>
      </c>
    </row>
    <row r="279" spans="1:27" x14ac:dyDescent="0.25">
      <c r="A279" t="s">
        <v>190</v>
      </c>
      <c r="B279" t="s">
        <v>212</v>
      </c>
      <c r="C279" t="s">
        <v>215</v>
      </c>
      <c r="D279">
        <v>350</v>
      </c>
      <c r="E279">
        <f t="shared" si="4"/>
        <v>3500</v>
      </c>
      <c r="F279" s="11">
        <v>1050</v>
      </c>
      <c r="G279" s="11">
        <v>950</v>
      </c>
      <c r="J279" s="11">
        <v>710</v>
      </c>
      <c r="K279" s="11">
        <v>710</v>
      </c>
      <c r="L279" s="17"/>
      <c r="M279" s="17"/>
      <c r="O279">
        <v>1200</v>
      </c>
      <c r="P279">
        <v>400</v>
      </c>
      <c r="Q279">
        <v>800</v>
      </c>
      <c r="R279">
        <v>800</v>
      </c>
      <c r="T279">
        <v>525</v>
      </c>
      <c r="U279">
        <v>37.4</v>
      </c>
      <c r="AA279" t="s">
        <v>216</v>
      </c>
    </row>
    <row r="280" spans="1:27" x14ac:dyDescent="0.25">
      <c r="A280" t="s">
        <v>190</v>
      </c>
      <c r="B280" t="s">
        <v>212</v>
      </c>
      <c r="C280" t="s">
        <v>217</v>
      </c>
      <c r="D280">
        <v>450</v>
      </c>
      <c r="E280">
        <f t="shared" si="4"/>
        <v>4500</v>
      </c>
      <c r="F280" s="11">
        <v>1150</v>
      </c>
      <c r="G280" s="11">
        <v>1050</v>
      </c>
      <c r="J280" s="11">
        <v>820</v>
      </c>
      <c r="K280" s="11">
        <v>820</v>
      </c>
      <c r="L280" s="17"/>
      <c r="M280" s="17"/>
      <c r="O280">
        <v>1300</v>
      </c>
      <c r="P280">
        <v>400</v>
      </c>
      <c r="Q280">
        <v>900</v>
      </c>
      <c r="R280">
        <v>900</v>
      </c>
      <c r="T280">
        <v>675</v>
      </c>
      <c r="U280">
        <v>42.4</v>
      </c>
      <c r="AA280" t="s">
        <v>218</v>
      </c>
    </row>
    <row r="281" spans="1:27" x14ac:dyDescent="0.25">
      <c r="A281" t="s">
        <v>190</v>
      </c>
      <c r="B281" t="s">
        <v>212</v>
      </c>
      <c r="C281" t="s">
        <v>219</v>
      </c>
      <c r="D281">
        <v>550</v>
      </c>
      <c r="E281">
        <f t="shared" si="4"/>
        <v>5500</v>
      </c>
      <c r="F281" s="11">
        <v>1250</v>
      </c>
      <c r="G281" s="11">
        <v>1150</v>
      </c>
      <c r="J281" s="11">
        <v>920</v>
      </c>
      <c r="K281" s="11">
        <v>920</v>
      </c>
      <c r="L281" s="17"/>
      <c r="M281" s="17"/>
      <c r="O281">
        <v>1400</v>
      </c>
      <c r="P281">
        <v>450</v>
      </c>
      <c r="Q281">
        <v>1000</v>
      </c>
      <c r="R281">
        <v>1000</v>
      </c>
      <c r="T281">
        <v>825</v>
      </c>
      <c r="U281">
        <v>46.9</v>
      </c>
      <c r="AA281" t="s">
        <v>220</v>
      </c>
    </row>
    <row r="282" spans="1:27" x14ac:dyDescent="0.25">
      <c r="A282" t="s">
        <v>190</v>
      </c>
      <c r="B282" t="s">
        <v>221</v>
      </c>
      <c r="C282" t="s">
        <v>222</v>
      </c>
      <c r="D282">
        <v>240</v>
      </c>
      <c r="E282">
        <f t="shared" si="4"/>
        <v>2400</v>
      </c>
      <c r="F282" s="11">
        <v>900</v>
      </c>
      <c r="G282" s="11">
        <v>830</v>
      </c>
      <c r="J282" s="11">
        <v>610</v>
      </c>
      <c r="K282" s="11">
        <v>610</v>
      </c>
      <c r="L282" s="17"/>
      <c r="M282" s="17"/>
      <c r="O282">
        <v>1000</v>
      </c>
      <c r="P282">
        <v>300</v>
      </c>
      <c r="Q282">
        <v>700</v>
      </c>
      <c r="R282">
        <v>700</v>
      </c>
      <c r="T282">
        <v>360</v>
      </c>
      <c r="U282">
        <v>31</v>
      </c>
      <c r="AA282" t="s">
        <v>98</v>
      </c>
    </row>
    <row r="283" spans="1:27" x14ac:dyDescent="0.25">
      <c r="A283" t="s">
        <v>190</v>
      </c>
      <c r="B283" t="s">
        <v>221</v>
      </c>
      <c r="C283" t="s">
        <v>223</v>
      </c>
      <c r="D283">
        <v>350</v>
      </c>
      <c r="E283">
        <f t="shared" si="4"/>
        <v>3500</v>
      </c>
      <c r="F283" s="11">
        <v>1050</v>
      </c>
      <c r="G283" s="11">
        <v>950</v>
      </c>
      <c r="J283" s="11">
        <v>710</v>
      </c>
      <c r="K283" s="11">
        <v>710</v>
      </c>
      <c r="L283" s="17"/>
      <c r="M283" s="17"/>
      <c r="O283">
        <v>1200</v>
      </c>
      <c r="P283">
        <v>400</v>
      </c>
      <c r="Q283">
        <v>800</v>
      </c>
      <c r="R283">
        <v>800</v>
      </c>
      <c r="T283">
        <v>525</v>
      </c>
      <c r="U283">
        <v>37.4</v>
      </c>
      <c r="AA283" t="s">
        <v>102</v>
      </c>
    </row>
    <row r="284" spans="1:27" x14ac:dyDescent="0.25">
      <c r="A284" t="s">
        <v>190</v>
      </c>
      <c r="B284" t="s">
        <v>221</v>
      </c>
      <c r="C284" t="s">
        <v>224</v>
      </c>
      <c r="D284">
        <v>460</v>
      </c>
      <c r="E284">
        <f t="shared" si="4"/>
        <v>4600</v>
      </c>
      <c r="F284" s="11">
        <v>1150</v>
      </c>
      <c r="G284" s="11">
        <v>1050</v>
      </c>
      <c r="J284" s="11">
        <v>820</v>
      </c>
      <c r="K284" s="11">
        <v>820</v>
      </c>
      <c r="L284" s="17"/>
      <c r="M284" s="17"/>
      <c r="O284">
        <v>1300</v>
      </c>
      <c r="P284">
        <v>400</v>
      </c>
      <c r="Q284">
        <v>900</v>
      </c>
      <c r="R284">
        <v>900</v>
      </c>
      <c r="T284">
        <v>690</v>
      </c>
      <c r="U284">
        <v>42.9</v>
      </c>
      <c r="AA284" t="s">
        <v>225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2026-07-17T15:12:51Z</dcterms:modified>
</cp:coreProperties>
</file>