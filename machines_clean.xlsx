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moldmatch-app\"/>
    </mc:Choice>
  </mc:AlternateContent>
  <xr:revisionPtr revIDLastSave="0" documentId="13_ncr:1_{5284095C-0E1E-4EF6-8979-969B6065ACF7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5" i="1" l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3" i="1"/>
  <c r="E4" i="1"/>
  <c r="E5" i="1"/>
  <c r="E6" i="1"/>
  <c r="E7" i="1"/>
  <c r="E8" i="1"/>
  <c r="E9" i="1"/>
  <c r="E10" i="1"/>
  <c r="E11" i="1"/>
  <c r="E12" i="1"/>
  <c r="E13" i="1"/>
  <c r="E14" i="1"/>
  <c r="E2" i="1"/>
  <c r="N2" i="1"/>
</calcChain>
</file>

<file path=xl/sharedStrings.xml><?xml version="1.0" encoding="utf-8"?>
<sst xmlns="http://schemas.openxmlformats.org/spreadsheetml/2006/main" count="738" uniqueCount="362">
  <si>
    <t>OEM</t>
  </si>
  <si>
    <t>Series</t>
  </si>
  <si>
    <t>Model</t>
  </si>
  <si>
    <t>Clamp Force (ton)</t>
  </si>
  <si>
    <t>Platen X (mm)</t>
  </si>
  <si>
    <t>Platen Y (mm)</t>
  </si>
  <si>
    <t>Tie Bar X (mm)</t>
  </si>
  <si>
    <t>Tie Bar Y (mm)</t>
  </si>
  <si>
    <t>Daylight Max (mm)</t>
  </si>
  <si>
    <t>Mold Min (mm)</t>
  </si>
  <si>
    <t>Mold Max (mm)</t>
  </si>
  <si>
    <t>Notes</t>
  </si>
  <si>
    <t>Daylight Min (mm)</t>
  </si>
  <si>
    <t>Shot Weight (g)</t>
  </si>
  <si>
    <t>Screw Size (mm)</t>
  </si>
  <si>
    <t>ENGEL</t>
  </si>
  <si>
    <t>Duo</t>
  </si>
  <si>
    <t>ES 7050/1100</t>
  </si>
  <si>
    <t>Large dual platen machine</t>
  </si>
  <si>
    <t>Victory</t>
  </si>
  <si>
    <t>e-victory 170/100</t>
  </si>
  <si>
    <t>Tie-barless design</t>
  </si>
  <si>
    <t>ES Series</t>
  </si>
  <si>
    <t>ES 2050/500</t>
  </si>
  <si>
    <t>Hydraulic toggle</t>
  </si>
  <si>
    <t>ES 200/60</t>
  </si>
  <si>
    <t>Older hydraulic machine</t>
  </si>
  <si>
    <t>e-motion</t>
  </si>
  <si>
    <t>e-motion 2440/380</t>
  </si>
  <si>
    <t>All-electric machine</t>
  </si>
  <si>
    <t>ARBURG</t>
  </si>
  <si>
    <t>ALLROUNDER S</t>
  </si>
  <si>
    <t>220 S 250-60</t>
  </si>
  <si>
    <t>Small hydraulic</t>
  </si>
  <si>
    <t>270 S 300-100</t>
  </si>
  <si>
    <t>Compact machine</t>
  </si>
  <si>
    <t>320 S 500-60</t>
  </si>
  <si>
    <t>Small standard</t>
  </si>
  <si>
    <t>320 S 500-150</t>
  </si>
  <si>
    <t>Flexible unit</t>
  </si>
  <si>
    <t>370 S 700-290</t>
  </si>
  <si>
    <t>Mid-size</t>
  </si>
  <si>
    <t>370 S 800-150</t>
  </si>
  <si>
    <t>Standard mid-size</t>
  </si>
  <si>
    <t>420 S 1000-350</t>
  </si>
  <si>
    <t>Mid-large</t>
  </si>
  <si>
    <t>470 S 1300-400</t>
  </si>
  <si>
    <t>Larger mid range</t>
  </si>
  <si>
    <t>520 S 1600-800</t>
  </si>
  <si>
    <t>Large hydraulic</t>
  </si>
  <si>
    <t>570 S 2000-800</t>
  </si>
  <si>
    <t>Large machine</t>
  </si>
  <si>
    <t>630 S 2500-1300</t>
  </si>
  <si>
    <t>High tonnage</t>
  </si>
  <si>
    <t>720 S 3200-2100</t>
  </si>
  <si>
    <t>Heavy duty</t>
  </si>
  <si>
    <t>ALLROUNDER A</t>
  </si>
  <si>
    <t>270 A 300-100</t>
  </si>
  <si>
    <t>Electric compact</t>
  </si>
  <si>
    <t>320 A 500-150</t>
  </si>
  <si>
    <t>Entry electric</t>
  </si>
  <si>
    <t>370 A 700-290</t>
  </si>
  <si>
    <t>Precision mid-size</t>
  </si>
  <si>
    <t>370 A 800-150</t>
  </si>
  <si>
    <t>Common electric</t>
  </si>
  <si>
    <t>420 A 1000-350</t>
  </si>
  <si>
    <t>Precise molding</t>
  </si>
  <si>
    <t>470 A 1300-400</t>
  </si>
  <si>
    <t>High accuracy</t>
  </si>
  <si>
    <t>520 A 1600-800</t>
  </si>
  <si>
    <t>Large precision</t>
  </si>
  <si>
    <t>570 A 2000-800</t>
  </si>
  <si>
    <t>Large electric</t>
  </si>
  <si>
    <t>630 A 2500-1300</t>
  </si>
  <si>
    <t>Heavy electric</t>
  </si>
  <si>
    <t>ALLROUNDER H</t>
  </si>
  <si>
    <t>370 H 700-290</t>
  </si>
  <si>
    <t>Hybrid mid-size</t>
  </si>
  <si>
    <t>420 H 1000-350</t>
  </si>
  <si>
    <t>Hybrid efficiency</t>
  </si>
  <si>
    <t>470 H 1300-400</t>
  </si>
  <si>
    <t>Common hybrid</t>
  </si>
  <si>
    <t>520 H 1600-800</t>
  </si>
  <si>
    <t>Large hybrid</t>
  </si>
  <si>
    <t>570 H 2000-800</t>
  </si>
  <si>
    <t>High productivity</t>
  </si>
  <si>
    <t>630 H 2500-1300</t>
  </si>
  <si>
    <t>Heavy hybrid</t>
  </si>
  <si>
    <t>720 H 3200-2100</t>
  </si>
  <si>
    <t>Large scale production</t>
  </si>
  <si>
    <t>ALLROUNDER C</t>
  </si>
  <si>
    <t>170 C 200-30</t>
  </si>
  <si>
    <t>Very small compact</t>
  </si>
  <si>
    <t>220 C 250-60</t>
  </si>
  <si>
    <t>Compact design</t>
  </si>
  <si>
    <t>270 C 300-100</t>
  </si>
  <si>
    <t>Compact production</t>
  </si>
  <si>
    <t>SUMITOMO</t>
  </si>
  <si>
    <t>SE-EV-A</t>
  </si>
  <si>
    <t>SE50EV-A</t>
  </si>
  <si>
    <t>Small electric precision</t>
  </si>
  <si>
    <t>SE75EV-A</t>
  </si>
  <si>
    <t>Small-mid electric</t>
  </si>
  <si>
    <t>SE130EV-A</t>
  </si>
  <si>
    <t>Mid-size electric</t>
  </si>
  <si>
    <t>SE180EV-A</t>
  </si>
  <si>
    <t>Precision molding</t>
  </si>
  <si>
    <t>SE280EV-A</t>
  </si>
  <si>
    <t>SE350EV-A</t>
  </si>
  <si>
    <t>Large electric high force</t>
  </si>
  <si>
    <t>SE450EV-A</t>
  </si>
  <si>
    <t>High tonnage electric</t>
  </si>
  <si>
    <t>SE500EV-A</t>
  </si>
  <si>
    <t>SE-HDZ</t>
  </si>
  <si>
    <t>SE130HDZ</t>
  </si>
  <si>
    <t>Electric high-speed</t>
  </si>
  <si>
    <t>SE180HDZ</t>
  </si>
  <si>
    <t>Thin-wall applications</t>
  </si>
  <si>
    <t>SE220HDZ</t>
  </si>
  <si>
    <t>High-speed packaging</t>
  </si>
  <si>
    <t>SE280HDZ</t>
  </si>
  <si>
    <t>Fast cycle</t>
  </si>
  <si>
    <t>SE350HDZ</t>
  </si>
  <si>
    <t>High-speed large</t>
  </si>
  <si>
    <t>SD</t>
  </si>
  <si>
    <t>SD30</t>
  </si>
  <si>
    <t>Small electric</t>
  </si>
  <si>
    <t>SD55</t>
  </si>
  <si>
    <t>Compact precision</t>
  </si>
  <si>
    <t>SD75</t>
  </si>
  <si>
    <t>Standard electric</t>
  </si>
  <si>
    <t>SD130</t>
  </si>
  <si>
    <t>SD180</t>
  </si>
  <si>
    <t>High precision</t>
  </si>
  <si>
    <t>SD280</t>
  </si>
  <si>
    <t>SD350</t>
  </si>
  <si>
    <t>Production</t>
  </si>
  <si>
    <t>El-Exis SP</t>
  </si>
  <si>
    <t>SP200</t>
  </si>
  <si>
    <t>Ultra-high speed</t>
  </si>
  <si>
    <t>SP350</t>
  </si>
  <si>
    <t>Packaging</t>
  </si>
  <si>
    <t>SP450</t>
  </si>
  <si>
    <t>Thin-wall</t>
  </si>
  <si>
    <t>SP500</t>
  </si>
  <si>
    <t>Large packaging</t>
  </si>
  <si>
    <t>Systec</t>
  </si>
  <si>
    <t>210</t>
  </si>
  <si>
    <t>Hydraulic</t>
  </si>
  <si>
    <t>280</t>
  </si>
  <si>
    <t>Standard hydraulic</t>
  </si>
  <si>
    <t>350</t>
  </si>
  <si>
    <t>500</t>
  </si>
  <si>
    <t>Heavy hydraulic</t>
  </si>
  <si>
    <t>HAITIAN</t>
  </si>
  <si>
    <t>MA Series</t>
  </si>
  <si>
    <t>MA1200</t>
  </si>
  <si>
    <t>Mars standard</t>
  </si>
  <si>
    <t>MA1600</t>
  </si>
  <si>
    <t>Mars mid-size</t>
  </si>
  <si>
    <t>MA2000</t>
  </si>
  <si>
    <t>Mars mid-high</t>
  </si>
  <si>
    <t>MA2500</t>
  </si>
  <si>
    <t>Mars large</t>
  </si>
  <si>
    <t>MA3200</t>
  </si>
  <si>
    <t>Mars larger</t>
  </si>
  <si>
    <t>MA3800</t>
  </si>
  <si>
    <t>MA4700</t>
  </si>
  <si>
    <t>Mars heavy</t>
  </si>
  <si>
    <t>MA5300</t>
  </si>
  <si>
    <t>Mars high tonnage</t>
  </si>
  <si>
    <t>JU Series</t>
  </si>
  <si>
    <t>JU1200</t>
  </si>
  <si>
    <t>Servo hydraulic</t>
  </si>
  <si>
    <t>JU1600</t>
  </si>
  <si>
    <t>Servo mid-size</t>
  </si>
  <si>
    <t>JU2000</t>
  </si>
  <si>
    <t>Servo mid-high</t>
  </si>
  <si>
    <t>JU2500</t>
  </si>
  <si>
    <t>Servo large</t>
  </si>
  <si>
    <t>JU3200</t>
  </si>
  <si>
    <t>Servo larger</t>
  </si>
  <si>
    <t>JU3800</t>
  </si>
  <si>
    <t>Servo heavy</t>
  </si>
  <si>
    <t>Zhafir VE</t>
  </si>
  <si>
    <t>VE1200</t>
  </si>
  <si>
    <t>Electric precision</t>
  </si>
  <si>
    <t>VE1600</t>
  </si>
  <si>
    <t>Electric mid-size</t>
  </si>
  <si>
    <t>VE2000</t>
  </si>
  <si>
    <t>Electric standard</t>
  </si>
  <si>
    <t>VE2300</t>
  </si>
  <si>
    <t>Electric extended</t>
  </si>
  <si>
    <t>VE2800</t>
  </si>
  <si>
    <t>Electric larger</t>
  </si>
  <si>
    <t>VE3200</t>
  </si>
  <si>
    <t>Electric high force</t>
  </si>
  <si>
    <t>VE3600</t>
  </si>
  <si>
    <t>Electric heavy</t>
  </si>
  <si>
    <t>VE4500</t>
  </si>
  <si>
    <t>Electric large</t>
  </si>
  <si>
    <t>Zhafir ZE</t>
  </si>
  <si>
    <t>ZE120</t>
  </si>
  <si>
    <t>ZE300</t>
  </si>
  <si>
    <t>Compact electric</t>
  </si>
  <si>
    <t>ZE600</t>
  </si>
  <si>
    <t>Mid electric</t>
  </si>
  <si>
    <t>ZE900</t>
  </si>
  <si>
    <t>ZE1400</t>
  </si>
  <si>
    <t>ZE1800</t>
  </si>
  <si>
    <t>Electric mid-high</t>
  </si>
  <si>
    <t>NETSTAL</t>
  </si>
  <si>
    <t>ELION</t>
  </si>
  <si>
    <t>ELION 500</t>
  </si>
  <si>
    <t>Small precision</t>
  </si>
  <si>
    <t>ELION 600</t>
  </si>
  <si>
    <t>Small-mid</t>
  </si>
  <si>
    <t>ELION 3200</t>
  </si>
  <si>
    <t>ELION 4200</t>
  </si>
  <si>
    <t>ELION 5000</t>
  </si>
  <si>
    <t>EVOS</t>
  </si>
  <si>
    <t>EVOS 1200</t>
  </si>
  <si>
    <t>Hybrid machine</t>
  </si>
  <si>
    <t>EVOS 1750</t>
  </si>
  <si>
    <t>Hybrid mid</t>
  </si>
  <si>
    <t>EVOS 2200</t>
  </si>
  <si>
    <t>Hybrid standard</t>
  </si>
  <si>
    <t>EVOS 2800</t>
  </si>
  <si>
    <t>Hybrid large</t>
  </si>
  <si>
    <t>EVOS 3200</t>
  </si>
  <si>
    <t>Hybrid high force</t>
  </si>
  <si>
    <t>EVOS 4200</t>
  </si>
  <si>
    <t>EVOS 5000</t>
  </si>
  <si>
    <t>PET-LINE</t>
  </si>
  <si>
    <t>PET 2000</t>
  </si>
  <si>
    <t>PET preform high speed</t>
  </si>
  <si>
    <t>PET 3000</t>
  </si>
  <si>
    <t>PET medium</t>
  </si>
  <si>
    <t>PET 4000</t>
  </si>
  <si>
    <t>PET large</t>
  </si>
  <si>
    <t>PET 5000</t>
  </si>
  <si>
    <t>PET heavy</t>
  </si>
  <si>
    <t>SYNCHRO</t>
  </si>
  <si>
    <t>SYNCHRO 2200</t>
  </si>
  <si>
    <t>SYNCHRO 3200</t>
  </si>
  <si>
    <t>SYNCHRO 4200</t>
  </si>
  <si>
    <t>High-speed heavy</t>
  </si>
  <si>
    <t>GENERIC</t>
  </si>
  <si>
    <t>ENGEL 40</t>
  </si>
  <si>
    <t>Filled via engineering scaling model</t>
  </si>
  <si>
    <t>ENGEL 50</t>
  </si>
  <si>
    <t>ENGEL 80</t>
  </si>
  <si>
    <t>ENGEL 100</t>
  </si>
  <si>
    <t>ENGEL 130</t>
  </si>
  <si>
    <t>ENGEL 160</t>
  </si>
  <si>
    <t>ENGEL 180</t>
  </si>
  <si>
    <t>ENGEL 200</t>
  </si>
  <si>
    <t>ENGEL 220</t>
  </si>
  <si>
    <t>ENGEL 280</t>
  </si>
  <si>
    <t>ENGEL 380</t>
  </si>
  <si>
    <t>ENGEL 450</t>
  </si>
  <si>
    <t>ENGEL 550</t>
  </si>
  <si>
    <t>ENGEL 700</t>
  </si>
  <si>
    <t>ENGEL 900</t>
  </si>
  <si>
    <t>ENGEL 1100</t>
  </si>
  <si>
    <t>ENGEL 1500</t>
  </si>
  <si>
    <t>ENGEL 2000</t>
  </si>
  <si>
    <t>ENGEL 3000</t>
  </si>
  <si>
    <t>ELION 800-N60</t>
  </si>
  <si>
    <t>ELION 800-N130</t>
  </si>
  <si>
    <t>ELION 800-N270</t>
  </si>
  <si>
    <t>e-mac</t>
  </si>
  <si>
    <t>e-mac 100</t>
  </si>
  <si>
    <t>Validated spec</t>
  </si>
  <si>
    <t>e-mac 130</t>
  </si>
  <si>
    <t>30-45</t>
  </si>
  <si>
    <t>Tie-bar confirmed</t>
  </si>
  <si>
    <t>e-mac 180</t>
  </si>
  <si>
    <t>35-50</t>
  </si>
  <si>
    <t>Common config</t>
  </si>
  <si>
    <t>e-mac 220</t>
  </si>
  <si>
    <t>40-55</t>
  </si>
  <si>
    <t>Estimated larger class</t>
  </si>
  <si>
    <t>e-mac 500</t>
  </si>
  <si>
    <t>55-80</t>
  </si>
  <si>
    <t>Max class</t>
  </si>
  <si>
    <t>e-mac 85</t>
  </si>
  <si>
    <t>ELION 1200-N250</t>
  </si>
  <si>
    <t>ELION 1200-N510</t>
  </si>
  <si>
    <t>ELION 1750-N250</t>
  </si>
  <si>
    <t>ELION 1750-N510</t>
  </si>
  <si>
    <t>ELION 1750-N870</t>
  </si>
  <si>
    <t>ELION 2200-N250</t>
  </si>
  <si>
    <t>ELION 2200-N510</t>
  </si>
  <si>
    <t>ELION 2200-N870</t>
  </si>
  <si>
    <t>ELION 2800-N510</t>
  </si>
  <si>
    <t>ELION 2800-N870</t>
  </si>
  <si>
    <t>Mold Weight Max (kg)</t>
  </si>
  <si>
    <t>Mold Weight Moving Platen Max (kg)</t>
  </si>
  <si>
    <t>Opening Stroke (mm)</t>
  </si>
  <si>
    <t xml:space="preserve"> mold_length</t>
  </si>
  <si>
    <t>value=636</t>
  </si>
  <si>
    <t>mold_width</t>
  </si>
  <si>
    <t>value=396</t>
  </si>
  <si>
    <t>mold_height</t>
  </si>
  <si>
    <t>value=458</t>
  </si>
  <si>
    <t>clamp_min</t>
  </si>
  <si>
    <t>Input</t>
  </si>
  <si>
    <t>value=50</t>
  </si>
  <si>
    <t>clamp_max</t>
  </si>
  <si>
    <t>value=200</t>
  </si>
  <si>
    <t>shot_weight</t>
  </si>
  <si>
    <t>value=15</t>
  </si>
  <si>
    <t>safety_clearance = mold_height * 0.1 + 20</t>
  </si>
  <si>
    <t>To add stroke/part depth</t>
  </si>
  <si>
    <t>df = load_data()</t>
  </si>
  <si>
    <t>platen_x</t>
  </si>
  <si>
    <t>From chart</t>
  </si>
  <si>
    <t>tie_y</t>
  </si>
  <si>
    <t>platen_y</t>
  </si>
  <si>
    <t>mold_min</t>
  </si>
  <si>
    <t>daylight_max</t>
  </si>
  <si>
    <t>clamp_force</t>
  </si>
  <si>
    <t>shot_capacity</t>
  </si>
  <si>
    <t xml:space="preserve">utilization </t>
  </si>
  <si>
    <t xml:space="preserve"> shot_weight / shot_capacity</t>
  </si>
  <si>
    <t xml:space="preserve"> "OEM": m["OEM"],</t>
  </si>
  <si>
    <t xml:space="preserve">            "Model": m["Model"],</t>
  </si>
  <si>
    <t xml:space="preserve">            "Clamp (ton)": m["Clamp Force (ton)"],</t>
  </si>
  <si>
    <t xml:space="preserve">            "Platen X (mm)": m["Platen X (mm)"], </t>
  </si>
  <si>
    <t xml:space="preserve">            "Tie Bar Y (mm)": m["Tie Bar Y (mm)"],</t>
  </si>
  <si>
    <t xml:space="preserve">            "Daylight Max (mm)": m["Daylight Max (mm)"], # shown</t>
  </si>
  <si>
    <t xml:space="preserve">            "Shot Weight (g)": m["Shot Weight (g)"],</t>
  </si>
  <si>
    <t xml:space="preserve">            "Screw Size (mm)": m["Screw Size (mm)"],</t>
  </si>
  <si>
    <t xml:space="preserve">            "Status": status,   </t>
  </si>
  <si>
    <t xml:space="preserve">            "Shot Utilization (%)": utilization if utilization else None,</t>
  </si>
  <si>
    <t xml:space="preserve">            "Status": status,</t>
  </si>
  <si>
    <t xml:space="preserve">            "Fail Reason": reason</t>
  </si>
  <si>
    <t>machine_row</t>
  </si>
  <si>
    <t>picked one</t>
  </si>
  <si>
    <t>machine_row["Platen X (mm)"]</t>
  </si>
  <si>
    <t>machine_row["Platen Y (mm)"]</t>
  </si>
  <si>
    <t>machine_row["Daylight Max (mm)"]</t>
  </si>
  <si>
    <t>Machine_row</t>
  </si>
  <si>
    <t>Variable</t>
  </si>
  <si>
    <t>machine_shot</t>
  </si>
  <si>
    <t>best["Shot Weight (g)"]</t>
  </si>
  <si>
    <t>actual_shot</t>
  </si>
  <si>
    <t>Golden Edition</t>
  </si>
  <si>
    <t>Clamp Force (kN)</t>
  </si>
  <si>
    <t>Ejector Stroke (mm)</t>
  </si>
  <si>
    <t>320 C-100</t>
  </si>
  <si>
    <t>320 C-170</t>
  </si>
  <si>
    <t>SHIBAURA</t>
  </si>
  <si>
    <t>ECSXIII</t>
  </si>
  <si>
    <t>EC30SXII</t>
  </si>
  <si>
    <t>EC250SXIII-U48-8Y</t>
  </si>
  <si>
    <t>EC200SXIII-U48-8Y</t>
  </si>
  <si>
    <t>all-electric</t>
  </si>
  <si>
    <t>YIZUMI's</t>
  </si>
  <si>
    <t>FF300 </t>
  </si>
  <si>
    <t>FF300-IU670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</si>
</sst>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/>
    <xf numFmtId="0" fontId="0" fillId="0" borderId="0" xfId="0"/>
    <xf numFmtId="0" fontId="0" fillId="2" borderId="0" xfId="0" applyFill="1"/>
    <xf numFmtId="0" fontId="0" fillId="0" borderId="0" xfId="0" applyFill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/>
    <xf numFmtId="0" fontId="1" fillId="0" borderId="1" xfId="0" applyFont="1" applyBorder="1" applyAlignment="1">
      <alignment horizontal="center" vertical="top" wrapText="1"/>
    </xf>
    <xf numFmtId="0" fontId="0" fillId="0" borderId="0" xfId="0" applyAlignment="1">
      <alignment wrapText="1"/>
    </xf>
    <xf numFmtId="0" fontId="4" fillId="0" borderId="1" xfId="0" applyFont="1" applyBorder="1" applyAlignment="1">
      <alignment horizontal="center" vertical="top" wrapText="1"/>
    </xf>
    <xf numFmtId="0" fontId="0" fillId="0" borderId="0" xfId="0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66"/>
  <sheetViews>
    <sheetView tabSelected="1" workbookViewId="0">
      <pane ySplit="1" topLeftCell="A143" activePane="bottomLeft" state="frozen"/>
      <selection pane="bottomLeft" activeCell="M169" sqref="M169"/>
    </sheetView>
  </sheetViews>
  <sheetFormatPr defaultRowHeight="15" x14ac:dyDescent="0.25"/>
  <cols>
    <col min="1" max="1" width="11.140625" bestFit="1" customWidth="1"/>
    <col min="2" max="2" width="14.5703125" bestFit="1" customWidth="1"/>
    <col min="3" max="3" width="17.85546875" bestFit="1" customWidth="1"/>
    <col min="4" max="4" width="16.85546875" bestFit="1" customWidth="1"/>
    <col min="5" max="5" width="16.85546875" style="2" customWidth="1"/>
    <col min="6" max="7" width="13.7109375" bestFit="1" customWidth="1"/>
    <col min="8" max="9" width="14" bestFit="1" customWidth="1"/>
    <col min="10" max="10" width="18.140625" bestFit="1" customWidth="1"/>
    <col min="11" max="11" width="15.140625" bestFit="1" customWidth="1"/>
    <col min="12" max="12" width="15.42578125" bestFit="1" customWidth="1"/>
    <col min="13" max="13" width="27" customWidth="1"/>
    <col min="14" max="14" width="17.85546875" bestFit="1" customWidth="1"/>
    <col min="15" max="15" width="13.140625" customWidth="1"/>
    <col min="16" max="16" width="15.7109375" bestFit="1" customWidth="1"/>
    <col min="17" max="17" width="22.7109375" style="2" customWidth="1"/>
    <col min="18" max="18" width="19.28515625" style="2" customWidth="1"/>
    <col min="19" max="19" width="13.42578125" style="2" customWidth="1"/>
    <col min="20" max="20" width="33.42578125" bestFit="1" customWidth="1"/>
  </cols>
  <sheetData>
    <row r="1" spans="1:20" s="9" customFormat="1" ht="45" x14ac:dyDescent="0.25">
      <c r="A1" s="8" t="s">
        <v>0</v>
      </c>
      <c r="B1" s="8" t="s">
        <v>1</v>
      </c>
      <c r="C1" s="8" t="s">
        <v>2</v>
      </c>
      <c r="D1" s="8" t="s">
        <v>3</v>
      </c>
      <c r="E1" s="8" t="s">
        <v>349</v>
      </c>
      <c r="F1" s="8" t="s">
        <v>4</v>
      </c>
      <c r="G1" s="8" t="s">
        <v>5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299</v>
      </c>
      <c r="N1" s="8" t="s">
        <v>12</v>
      </c>
      <c r="O1" s="10" t="s">
        <v>13</v>
      </c>
      <c r="P1" s="8" t="s">
        <v>14</v>
      </c>
      <c r="Q1" s="8" t="s">
        <v>297</v>
      </c>
      <c r="R1" s="8" t="s">
        <v>298</v>
      </c>
      <c r="S1" s="10" t="s">
        <v>350</v>
      </c>
      <c r="T1" s="8" t="s">
        <v>11</v>
      </c>
    </row>
    <row r="2" spans="1:20" x14ac:dyDescent="0.25">
      <c r="A2" t="s">
        <v>30</v>
      </c>
      <c r="B2" t="s">
        <v>31</v>
      </c>
      <c r="C2" t="s">
        <v>32</v>
      </c>
      <c r="D2">
        <v>60</v>
      </c>
      <c r="E2" s="2">
        <f>D2*10</f>
        <v>600</v>
      </c>
      <c r="F2">
        <v>450</v>
      </c>
      <c r="G2">
        <v>450</v>
      </c>
      <c r="H2">
        <v>270</v>
      </c>
      <c r="I2">
        <v>270</v>
      </c>
      <c r="J2">
        <v>500</v>
      </c>
      <c r="K2">
        <v>150</v>
      </c>
      <c r="L2">
        <v>300</v>
      </c>
      <c r="M2">
        <v>300</v>
      </c>
      <c r="N2">
        <f>3.14*P2*P2/4*M2/1000</f>
        <v>56.578874999999996</v>
      </c>
      <c r="O2">
        <v>90</v>
      </c>
      <c r="P2">
        <v>15.5</v>
      </c>
      <c r="T2" t="s">
        <v>33</v>
      </c>
    </row>
    <row r="3" spans="1:20" x14ac:dyDescent="0.25">
      <c r="A3" t="s">
        <v>30</v>
      </c>
      <c r="B3" t="s">
        <v>31</v>
      </c>
      <c r="C3" t="s">
        <v>34</v>
      </c>
      <c r="D3">
        <v>100</v>
      </c>
      <c r="E3" s="2">
        <f t="shared" ref="E3:E66" si="0">D3*10</f>
        <v>1000</v>
      </c>
      <c r="F3">
        <v>500</v>
      </c>
      <c r="G3">
        <v>500</v>
      </c>
      <c r="H3">
        <v>320</v>
      </c>
      <c r="I3">
        <v>320</v>
      </c>
      <c r="J3">
        <v>550</v>
      </c>
      <c r="K3">
        <v>150</v>
      </c>
      <c r="L3">
        <v>350</v>
      </c>
      <c r="M3">
        <v>320</v>
      </c>
      <c r="O3">
        <v>150</v>
      </c>
      <c r="P3">
        <v>20</v>
      </c>
      <c r="T3" t="s">
        <v>35</v>
      </c>
    </row>
    <row r="4" spans="1:20" s="2" customFormat="1" x14ac:dyDescent="0.25">
      <c r="A4" s="2" t="s">
        <v>30</v>
      </c>
      <c r="B4" s="2" t="s">
        <v>31</v>
      </c>
      <c r="C4" s="3" t="s">
        <v>351</v>
      </c>
      <c r="D4" s="2">
        <v>50</v>
      </c>
      <c r="E4" s="2">
        <f t="shared" si="0"/>
        <v>500</v>
      </c>
      <c r="F4" s="2">
        <v>446</v>
      </c>
      <c r="G4" s="2">
        <v>446</v>
      </c>
      <c r="H4" s="2">
        <v>320</v>
      </c>
      <c r="I4" s="2">
        <v>320</v>
      </c>
      <c r="J4" s="2">
        <v>550</v>
      </c>
      <c r="K4" s="2">
        <v>200</v>
      </c>
      <c r="M4" s="2">
        <v>350</v>
      </c>
      <c r="O4" s="2">
        <v>29</v>
      </c>
      <c r="P4" s="2">
        <v>20</v>
      </c>
      <c r="R4" s="2">
        <v>180</v>
      </c>
      <c r="S4" s="2">
        <v>125</v>
      </c>
      <c r="T4" s="2" t="s">
        <v>348</v>
      </c>
    </row>
    <row r="5" spans="1:20" s="2" customFormat="1" x14ac:dyDescent="0.25">
      <c r="A5" s="2" t="s">
        <v>30</v>
      </c>
      <c r="B5" s="2" t="s">
        <v>31</v>
      </c>
      <c r="C5" s="3" t="s">
        <v>351</v>
      </c>
      <c r="D5" s="2">
        <v>50</v>
      </c>
      <c r="E5" s="2">
        <f t="shared" si="0"/>
        <v>500</v>
      </c>
      <c r="F5" s="2">
        <v>446</v>
      </c>
      <c r="G5" s="2">
        <v>446</v>
      </c>
      <c r="H5" s="2">
        <v>320</v>
      </c>
      <c r="I5" s="2">
        <v>320</v>
      </c>
      <c r="J5" s="2">
        <v>550</v>
      </c>
      <c r="K5" s="2">
        <v>200</v>
      </c>
      <c r="M5" s="2">
        <v>350</v>
      </c>
      <c r="O5" s="11">
        <v>45</v>
      </c>
      <c r="P5" s="11">
        <v>25</v>
      </c>
      <c r="R5" s="2">
        <v>180</v>
      </c>
      <c r="S5" s="2">
        <v>125</v>
      </c>
      <c r="T5" s="2" t="s">
        <v>348</v>
      </c>
    </row>
    <row r="6" spans="1:20" s="2" customFormat="1" x14ac:dyDescent="0.25">
      <c r="A6" s="2" t="s">
        <v>30</v>
      </c>
      <c r="B6" s="2" t="s">
        <v>31</v>
      </c>
      <c r="C6" s="3" t="s">
        <v>351</v>
      </c>
      <c r="D6" s="2">
        <v>50</v>
      </c>
      <c r="E6" s="2">
        <f t="shared" si="0"/>
        <v>500</v>
      </c>
      <c r="F6" s="2">
        <v>446</v>
      </c>
      <c r="G6" s="2">
        <v>446</v>
      </c>
      <c r="H6" s="2">
        <v>320</v>
      </c>
      <c r="I6" s="2">
        <v>320</v>
      </c>
      <c r="J6" s="2">
        <v>550</v>
      </c>
      <c r="K6" s="2">
        <v>200</v>
      </c>
      <c r="M6" s="2">
        <v>350</v>
      </c>
      <c r="O6" s="11">
        <v>65</v>
      </c>
      <c r="P6" s="11">
        <v>30</v>
      </c>
      <c r="R6" s="2">
        <v>180</v>
      </c>
      <c r="S6" s="2">
        <v>125</v>
      </c>
      <c r="T6" s="2" t="s">
        <v>348</v>
      </c>
    </row>
    <row r="7" spans="1:20" s="2" customFormat="1" x14ac:dyDescent="0.25">
      <c r="A7" s="2" t="s">
        <v>30</v>
      </c>
      <c r="B7" s="2" t="s">
        <v>31</v>
      </c>
      <c r="C7" s="3" t="s">
        <v>352</v>
      </c>
      <c r="D7" s="2">
        <v>50</v>
      </c>
      <c r="E7" s="2">
        <f t="shared" si="0"/>
        <v>500</v>
      </c>
      <c r="F7" s="2">
        <v>446</v>
      </c>
      <c r="G7" s="2">
        <v>446</v>
      </c>
      <c r="H7" s="2">
        <v>320</v>
      </c>
      <c r="I7" s="2">
        <v>320</v>
      </c>
      <c r="J7" s="2">
        <v>550</v>
      </c>
      <c r="K7" s="2">
        <v>200</v>
      </c>
      <c r="M7" s="2">
        <v>350</v>
      </c>
      <c r="O7" s="11">
        <v>54</v>
      </c>
      <c r="P7" s="11">
        <v>25</v>
      </c>
      <c r="R7" s="2">
        <v>180</v>
      </c>
      <c r="S7" s="2">
        <v>125</v>
      </c>
      <c r="T7" s="2" t="s">
        <v>348</v>
      </c>
    </row>
    <row r="8" spans="1:20" s="2" customFormat="1" x14ac:dyDescent="0.25">
      <c r="A8" s="2" t="s">
        <v>30</v>
      </c>
      <c r="B8" s="2" t="s">
        <v>31</v>
      </c>
      <c r="C8" s="3" t="s">
        <v>352</v>
      </c>
      <c r="D8" s="2">
        <v>50</v>
      </c>
      <c r="E8" s="2">
        <f t="shared" si="0"/>
        <v>500</v>
      </c>
      <c r="F8" s="2">
        <v>446</v>
      </c>
      <c r="G8" s="2">
        <v>446</v>
      </c>
      <c r="H8" s="2">
        <v>320</v>
      </c>
      <c r="I8" s="2">
        <v>320</v>
      </c>
      <c r="J8" s="2">
        <v>550</v>
      </c>
      <c r="K8" s="2">
        <v>200</v>
      </c>
      <c r="M8" s="2">
        <v>350</v>
      </c>
      <c r="O8" s="11">
        <v>77</v>
      </c>
      <c r="P8" s="11">
        <v>30</v>
      </c>
      <c r="R8" s="2">
        <v>180</v>
      </c>
      <c r="S8" s="2">
        <v>125</v>
      </c>
      <c r="T8" s="2" t="s">
        <v>348</v>
      </c>
    </row>
    <row r="9" spans="1:20" s="2" customFormat="1" x14ac:dyDescent="0.25">
      <c r="A9" s="2" t="s">
        <v>30</v>
      </c>
      <c r="B9" s="2" t="s">
        <v>31</v>
      </c>
      <c r="C9" s="3" t="s">
        <v>352</v>
      </c>
      <c r="D9" s="2">
        <v>50</v>
      </c>
      <c r="E9" s="2">
        <f t="shared" si="0"/>
        <v>500</v>
      </c>
      <c r="F9" s="2">
        <v>446</v>
      </c>
      <c r="G9" s="2">
        <v>446</v>
      </c>
      <c r="H9" s="2">
        <v>320</v>
      </c>
      <c r="I9" s="2">
        <v>320</v>
      </c>
      <c r="J9" s="2">
        <v>550</v>
      </c>
      <c r="K9" s="2">
        <v>200</v>
      </c>
      <c r="M9" s="2">
        <v>350</v>
      </c>
      <c r="O9" s="11">
        <v>105</v>
      </c>
      <c r="P9" s="11">
        <v>35</v>
      </c>
      <c r="R9" s="2">
        <v>180</v>
      </c>
      <c r="S9" s="2">
        <v>125</v>
      </c>
      <c r="T9" s="2" t="s">
        <v>348</v>
      </c>
    </row>
    <row r="10" spans="1:20" x14ac:dyDescent="0.25">
      <c r="A10" t="s">
        <v>30</v>
      </c>
      <c r="B10" t="s">
        <v>31</v>
      </c>
      <c r="C10" t="s">
        <v>36</v>
      </c>
      <c r="D10">
        <v>60</v>
      </c>
      <c r="E10" s="2">
        <f t="shared" si="0"/>
        <v>600</v>
      </c>
      <c r="F10">
        <v>570</v>
      </c>
      <c r="G10">
        <v>570</v>
      </c>
      <c r="H10">
        <v>320</v>
      </c>
      <c r="I10">
        <v>320</v>
      </c>
      <c r="J10">
        <v>600</v>
      </c>
      <c r="K10">
        <v>200</v>
      </c>
      <c r="L10">
        <v>400</v>
      </c>
      <c r="M10">
        <v>400</v>
      </c>
      <c r="O10">
        <v>90</v>
      </c>
      <c r="P10">
        <v>15.5</v>
      </c>
      <c r="T10" t="s">
        <v>37</v>
      </c>
    </row>
    <row r="11" spans="1:20" x14ac:dyDescent="0.25">
      <c r="A11" t="s">
        <v>30</v>
      </c>
      <c r="B11" t="s">
        <v>31</v>
      </c>
      <c r="C11" t="s">
        <v>38</v>
      </c>
      <c r="D11">
        <v>150</v>
      </c>
      <c r="E11" s="2">
        <f t="shared" si="0"/>
        <v>1500</v>
      </c>
      <c r="F11">
        <v>570</v>
      </c>
      <c r="G11">
        <v>570</v>
      </c>
      <c r="H11">
        <v>320</v>
      </c>
      <c r="I11">
        <v>320</v>
      </c>
      <c r="J11">
        <v>600</v>
      </c>
      <c r="K11">
        <v>200</v>
      </c>
      <c r="L11">
        <v>450</v>
      </c>
      <c r="M11">
        <v>450</v>
      </c>
      <c r="O11">
        <v>225</v>
      </c>
      <c r="P11">
        <v>24.5</v>
      </c>
      <c r="T11" t="s">
        <v>39</v>
      </c>
    </row>
    <row r="12" spans="1:20" x14ac:dyDescent="0.25">
      <c r="A12" t="s">
        <v>30</v>
      </c>
      <c r="B12" t="s">
        <v>31</v>
      </c>
      <c r="C12" t="s">
        <v>40</v>
      </c>
      <c r="D12">
        <v>290</v>
      </c>
      <c r="E12" s="2">
        <f t="shared" si="0"/>
        <v>2900</v>
      </c>
      <c r="F12">
        <v>770</v>
      </c>
      <c r="G12">
        <v>770</v>
      </c>
      <c r="H12">
        <v>470</v>
      </c>
      <c r="I12">
        <v>470</v>
      </c>
      <c r="J12">
        <v>800</v>
      </c>
      <c r="K12">
        <v>250</v>
      </c>
      <c r="L12">
        <v>600</v>
      </c>
      <c r="M12">
        <v>600</v>
      </c>
      <c r="O12">
        <v>435</v>
      </c>
      <c r="P12">
        <v>34.1</v>
      </c>
      <c r="T12" t="s">
        <v>41</v>
      </c>
    </row>
    <row r="13" spans="1:20" x14ac:dyDescent="0.25">
      <c r="A13" t="s">
        <v>30</v>
      </c>
      <c r="B13" t="s">
        <v>31</v>
      </c>
      <c r="C13" t="s">
        <v>42</v>
      </c>
      <c r="D13">
        <v>150</v>
      </c>
      <c r="E13" s="2">
        <f t="shared" si="0"/>
        <v>1500</v>
      </c>
      <c r="F13">
        <v>770</v>
      </c>
      <c r="G13">
        <v>770</v>
      </c>
      <c r="H13">
        <v>470</v>
      </c>
      <c r="I13">
        <v>470</v>
      </c>
      <c r="J13">
        <v>900</v>
      </c>
      <c r="K13">
        <v>250</v>
      </c>
      <c r="L13">
        <v>650</v>
      </c>
      <c r="M13">
        <v>650</v>
      </c>
      <c r="O13">
        <v>225</v>
      </c>
      <c r="P13">
        <v>24.5</v>
      </c>
      <c r="T13" t="s">
        <v>43</v>
      </c>
    </row>
    <row r="14" spans="1:20" x14ac:dyDescent="0.25">
      <c r="A14" t="s">
        <v>30</v>
      </c>
      <c r="B14" t="s">
        <v>31</v>
      </c>
      <c r="C14" t="s">
        <v>44</v>
      </c>
      <c r="D14">
        <v>350</v>
      </c>
      <c r="E14" s="2">
        <f t="shared" si="0"/>
        <v>3500</v>
      </c>
      <c r="F14">
        <v>850</v>
      </c>
      <c r="G14">
        <v>850</v>
      </c>
      <c r="H14">
        <v>550</v>
      </c>
      <c r="I14">
        <v>550</v>
      </c>
      <c r="J14">
        <v>1000</v>
      </c>
      <c r="K14">
        <v>300</v>
      </c>
      <c r="L14">
        <v>700</v>
      </c>
      <c r="M14">
        <v>700</v>
      </c>
      <c r="O14">
        <v>525</v>
      </c>
      <c r="P14">
        <v>37.4</v>
      </c>
      <c r="T14" t="s">
        <v>45</v>
      </c>
    </row>
    <row r="15" spans="1:20" x14ac:dyDescent="0.25">
      <c r="A15" t="s">
        <v>30</v>
      </c>
      <c r="B15" t="s">
        <v>31</v>
      </c>
      <c r="C15" t="s">
        <v>46</v>
      </c>
      <c r="D15">
        <v>400</v>
      </c>
      <c r="E15" s="2">
        <f t="shared" si="0"/>
        <v>4000</v>
      </c>
      <c r="F15">
        <v>900</v>
      </c>
      <c r="G15">
        <v>900</v>
      </c>
      <c r="H15">
        <v>600</v>
      </c>
      <c r="I15">
        <v>600</v>
      </c>
      <c r="J15">
        <v>1100</v>
      </c>
      <c r="K15">
        <v>300</v>
      </c>
      <c r="L15">
        <v>800</v>
      </c>
      <c r="M15">
        <v>800</v>
      </c>
      <c r="O15">
        <v>600</v>
      </c>
      <c r="P15">
        <v>40</v>
      </c>
      <c r="T15" t="s">
        <v>47</v>
      </c>
    </row>
    <row r="16" spans="1:20" x14ac:dyDescent="0.25">
      <c r="A16" t="s">
        <v>30</v>
      </c>
      <c r="B16" t="s">
        <v>31</v>
      </c>
      <c r="C16" t="s">
        <v>48</v>
      </c>
      <c r="D16">
        <v>800</v>
      </c>
      <c r="E16" s="2">
        <f t="shared" si="0"/>
        <v>8000</v>
      </c>
      <c r="F16">
        <v>1000</v>
      </c>
      <c r="G16">
        <v>1000</v>
      </c>
      <c r="H16">
        <v>700</v>
      </c>
      <c r="I16">
        <v>700</v>
      </c>
      <c r="J16">
        <v>1300</v>
      </c>
      <c r="K16">
        <v>350</v>
      </c>
      <c r="L16">
        <v>900</v>
      </c>
      <c r="M16">
        <v>900</v>
      </c>
      <c r="O16">
        <v>1200</v>
      </c>
      <c r="P16">
        <v>56.6</v>
      </c>
      <c r="T16" t="s">
        <v>49</v>
      </c>
    </row>
    <row r="17" spans="1:20" x14ac:dyDescent="0.25">
      <c r="A17" t="s">
        <v>30</v>
      </c>
      <c r="B17" t="s">
        <v>31</v>
      </c>
      <c r="C17" t="s">
        <v>50</v>
      </c>
      <c r="D17">
        <v>800</v>
      </c>
      <c r="E17" s="2">
        <f t="shared" si="0"/>
        <v>8000</v>
      </c>
      <c r="F17">
        <v>1100</v>
      </c>
      <c r="G17">
        <v>1100</v>
      </c>
      <c r="H17">
        <v>800</v>
      </c>
      <c r="I17">
        <v>800</v>
      </c>
      <c r="J17">
        <v>1400</v>
      </c>
      <c r="K17">
        <v>400</v>
      </c>
      <c r="L17">
        <v>1000</v>
      </c>
      <c r="M17">
        <v>1000</v>
      </c>
      <c r="O17">
        <v>1200</v>
      </c>
      <c r="P17">
        <v>56.6</v>
      </c>
      <c r="T17" t="s">
        <v>51</v>
      </c>
    </row>
    <row r="18" spans="1:20" x14ac:dyDescent="0.25">
      <c r="A18" t="s">
        <v>30</v>
      </c>
      <c r="B18" t="s">
        <v>31</v>
      </c>
      <c r="C18" t="s">
        <v>52</v>
      </c>
      <c r="D18">
        <v>1300</v>
      </c>
      <c r="E18" s="2">
        <f t="shared" si="0"/>
        <v>13000</v>
      </c>
      <c r="F18">
        <v>1300</v>
      </c>
      <c r="G18">
        <v>1300</v>
      </c>
      <c r="H18">
        <v>900</v>
      </c>
      <c r="I18">
        <v>900</v>
      </c>
      <c r="J18">
        <v>1800</v>
      </c>
      <c r="K18">
        <v>500</v>
      </c>
      <c r="L18">
        <v>1200</v>
      </c>
      <c r="M18">
        <v>1200</v>
      </c>
      <c r="O18">
        <v>1950</v>
      </c>
      <c r="P18">
        <v>72.099999999999994</v>
      </c>
      <c r="T18" t="s">
        <v>53</v>
      </c>
    </row>
    <row r="19" spans="1:20" x14ac:dyDescent="0.25">
      <c r="A19" t="s">
        <v>30</v>
      </c>
      <c r="B19" t="s">
        <v>31</v>
      </c>
      <c r="C19" t="s">
        <v>54</v>
      </c>
      <c r="D19">
        <v>2100</v>
      </c>
      <c r="E19" s="2">
        <f t="shared" si="0"/>
        <v>21000</v>
      </c>
      <c r="F19">
        <v>1500</v>
      </c>
      <c r="G19">
        <v>1500</v>
      </c>
      <c r="H19">
        <v>1100</v>
      </c>
      <c r="I19">
        <v>1100</v>
      </c>
      <c r="J19">
        <v>2000</v>
      </c>
      <c r="K19">
        <v>600</v>
      </c>
      <c r="L19">
        <v>1400</v>
      </c>
      <c r="M19">
        <v>1400</v>
      </c>
      <c r="O19">
        <v>3150</v>
      </c>
      <c r="P19">
        <v>91.7</v>
      </c>
      <c r="T19" t="s">
        <v>55</v>
      </c>
    </row>
    <row r="20" spans="1:20" x14ac:dyDescent="0.25">
      <c r="A20" t="s">
        <v>30</v>
      </c>
      <c r="B20" t="s">
        <v>56</v>
      </c>
      <c r="C20" t="s">
        <v>57</v>
      </c>
      <c r="D20">
        <v>100</v>
      </c>
      <c r="E20" s="2">
        <f t="shared" si="0"/>
        <v>1000</v>
      </c>
      <c r="F20">
        <v>500</v>
      </c>
      <c r="G20">
        <v>500</v>
      </c>
      <c r="H20">
        <v>320</v>
      </c>
      <c r="I20">
        <v>320</v>
      </c>
      <c r="J20">
        <v>550</v>
      </c>
      <c r="K20">
        <v>150</v>
      </c>
      <c r="L20">
        <v>350</v>
      </c>
      <c r="M20">
        <v>320</v>
      </c>
      <c r="O20">
        <v>150</v>
      </c>
      <c r="P20">
        <v>20</v>
      </c>
      <c r="T20" t="s">
        <v>58</v>
      </c>
    </row>
    <row r="21" spans="1:20" x14ac:dyDescent="0.25">
      <c r="A21" t="s">
        <v>30</v>
      </c>
      <c r="B21" t="s">
        <v>56</v>
      </c>
      <c r="C21" t="s">
        <v>59</v>
      </c>
      <c r="D21">
        <v>150</v>
      </c>
      <c r="E21" s="2">
        <f t="shared" si="0"/>
        <v>1500</v>
      </c>
      <c r="F21">
        <v>570</v>
      </c>
      <c r="G21">
        <v>570</v>
      </c>
      <c r="H21">
        <v>320</v>
      </c>
      <c r="I21">
        <v>320</v>
      </c>
      <c r="J21">
        <v>600</v>
      </c>
      <c r="K21">
        <v>200</v>
      </c>
      <c r="L21">
        <v>450</v>
      </c>
      <c r="M21">
        <v>400</v>
      </c>
      <c r="O21">
        <v>225</v>
      </c>
      <c r="P21">
        <v>24.5</v>
      </c>
      <c r="T21" t="s">
        <v>60</v>
      </c>
    </row>
    <row r="22" spans="1:20" x14ac:dyDescent="0.25">
      <c r="A22" t="s">
        <v>30</v>
      </c>
      <c r="B22" t="s">
        <v>56</v>
      </c>
      <c r="C22" t="s">
        <v>61</v>
      </c>
      <c r="D22">
        <v>290</v>
      </c>
      <c r="E22" s="2">
        <f t="shared" si="0"/>
        <v>2900</v>
      </c>
      <c r="F22">
        <v>770</v>
      </c>
      <c r="G22">
        <v>770</v>
      </c>
      <c r="H22">
        <v>470</v>
      </c>
      <c r="I22">
        <v>470</v>
      </c>
      <c r="J22">
        <v>800</v>
      </c>
      <c r="K22">
        <v>250</v>
      </c>
      <c r="L22">
        <v>600</v>
      </c>
      <c r="M22">
        <v>600</v>
      </c>
      <c r="O22">
        <v>435</v>
      </c>
      <c r="P22">
        <v>34.1</v>
      </c>
      <c r="T22" t="s">
        <v>62</v>
      </c>
    </row>
    <row r="23" spans="1:20" x14ac:dyDescent="0.25">
      <c r="A23" t="s">
        <v>30</v>
      </c>
      <c r="B23" t="s">
        <v>56</v>
      </c>
      <c r="C23" t="s">
        <v>63</v>
      </c>
      <c r="D23">
        <v>150</v>
      </c>
      <c r="E23" s="2">
        <f t="shared" si="0"/>
        <v>1500</v>
      </c>
      <c r="F23">
        <v>770</v>
      </c>
      <c r="G23">
        <v>770</v>
      </c>
      <c r="H23">
        <v>470</v>
      </c>
      <c r="I23">
        <v>470</v>
      </c>
      <c r="J23">
        <v>900</v>
      </c>
      <c r="K23">
        <v>250</v>
      </c>
      <c r="L23">
        <v>650</v>
      </c>
      <c r="M23">
        <v>650</v>
      </c>
      <c r="O23">
        <v>225</v>
      </c>
      <c r="P23">
        <v>24.5</v>
      </c>
      <c r="T23" t="s">
        <v>64</v>
      </c>
    </row>
    <row r="24" spans="1:20" x14ac:dyDescent="0.25">
      <c r="A24" t="s">
        <v>30</v>
      </c>
      <c r="B24" t="s">
        <v>56</v>
      </c>
      <c r="C24" t="s">
        <v>65</v>
      </c>
      <c r="D24">
        <v>350</v>
      </c>
      <c r="E24" s="2">
        <f t="shared" si="0"/>
        <v>3500</v>
      </c>
      <c r="F24">
        <v>850</v>
      </c>
      <c r="G24">
        <v>850</v>
      </c>
      <c r="H24">
        <v>550</v>
      </c>
      <c r="I24">
        <v>550</v>
      </c>
      <c r="J24">
        <v>1000</v>
      </c>
      <c r="K24">
        <v>300</v>
      </c>
      <c r="L24">
        <v>700</v>
      </c>
      <c r="M24">
        <v>700</v>
      </c>
      <c r="O24">
        <v>525</v>
      </c>
      <c r="P24">
        <v>37.4</v>
      </c>
      <c r="T24" t="s">
        <v>66</v>
      </c>
    </row>
    <row r="25" spans="1:20" x14ac:dyDescent="0.25">
      <c r="A25" t="s">
        <v>30</v>
      </c>
      <c r="B25" t="s">
        <v>56</v>
      </c>
      <c r="C25" t="s">
        <v>67</v>
      </c>
      <c r="D25">
        <v>400</v>
      </c>
      <c r="E25" s="2">
        <f t="shared" si="0"/>
        <v>4000</v>
      </c>
      <c r="F25">
        <v>900</v>
      </c>
      <c r="G25">
        <v>900</v>
      </c>
      <c r="H25">
        <v>600</v>
      </c>
      <c r="I25">
        <v>600</v>
      </c>
      <c r="J25">
        <v>1100</v>
      </c>
      <c r="K25">
        <v>300</v>
      </c>
      <c r="L25">
        <v>800</v>
      </c>
      <c r="M25">
        <v>800</v>
      </c>
      <c r="O25">
        <v>600</v>
      </c>
      <c r="P25">
        <v>40</v>
      </c>
      <c r="T25" t="s">
        <v>68</v>
      </c>
    </row>
    <row r="26" spans="1:20" x14ac:dyDescent="0.25">
      <c r="A26" t="s">
        <v>30</v>
      </c>
      <c r="B26" t="s">
        <v>56</v>
      </c>
      <c r="C26" t="s">
        <v>69</v>
      </c>
      <c r="D26">
        <v>800</v>
      </c>
      <c r="E26" s="2">
        <f t="shared" si="0"/>
        <v>8000</v>
      </c>
      <c r="F26">
        <v>1000</v>
      </c>
      <c r="G26">
        <v>1000</v>
      </c>
      <c r="H26">
        <v>700</v>
      </c>
      <c r="I26">
        <v>700</v>
      </c>
      <c r="J26">
        <v>1300</v>
      </c>
      <c r="K26">
        <v>350</v>
      </c>
      <c r="L26">
        <v>900</v>
      </c>
      <c r="M26">
        <v>900</v>
      </c>
      <c r="O26">
        <v>1200</v>
      </c>
      <c r="P26">
        <v>56.6</v>
      </c>
      <c r="T26" t="s">
        <v>70</v>
      </c>
    </row>
    <row r="27" spans="1:20" x14ac:dyDescent="0.25">
      <c r="A27" t="s">
        <v>30</v>
      </c>
      <c r="B27" t="s">
        <v>56</v>
      </c>
      <c r="C27" t="s">
        <v>71</v>
      </c>
      <c r="D27">
        <v>800</v>
      </c>
      <c r="E27" s="2">
        <f t="shared" si="0"/>
        <v>8000</v>
      </c>
      <c r="F27">
        <v>1100</v>
      </c>
      <c r="G27">
        <v>1100</v>
      </c>
      <c r="H27">
        <v>800</v>
      </c>
      <c r="I27">
        <v>800</v>
      </c>
      <c r="J27">
        <v>1400</v>
      </c>
      <c r="K27">
        <v>400</v>
      </c>
      <c r="L27">
        <v>1000</v>
      </c>
      <c r="M27">
        <v>1000</v>
      </c>
      <c r="O27">
        <v>1200</v>
      </c>
      <c r="P27">
        <v>56.6</v>
      </c>
      <c r="T27" t="s">
        <v>72</v>
      </c>
    </row>
    <row r="28" spans="1:20" x14ac:dyDescent="0.25">
      <c r="A28" t="s">
        <v>30</v>
      </c>
      <c r="B28" t="s">
        <v>56</v>
      </c>
      <c r="C28" t="s">
        <v>73</v>
      </c>
      <c r="D28">
        <v>1300</v>
      </c>
      <c r="E28" s="2">
        <f t="shared" si="0"/>
        <v>13000</v>
      </c>
      <c r="F28">
        <v>1300</v>
      </c>
      <c r="G28">
        <v>1300</v>
      </c>
      <c r="H28">
        <v>900</v>
      </c>
      <c r="I28">
        <v>900</v>
      </c>
      <c r="J28">
        <v>1800</v>
      </c>
      <c r="K28">
        <v>500</v>
      </c>
      <c r="L28">
        <v>1200</v>
      </c>
      <c r="M28">
        <v>1200</v>
      </c>
      <c r="O28">
        <v>1950</v>
      </c>
      <c r="P28">
        <v>72.099999999999994</v>
      </c>
      <c r="T28" t="s">
        <v>74</v>
      </c>
    </row>
    <row r="29" spans="1:20" x14ac:dyDescent="0.25">
      <c r="A29" t="s">
        <v>30</v>
      </c>
      <c r="B29" t="s">
        <v>75</v>
      </c>
      <c r="C29" t="s">
        <v>76</v>
      </c>
      <c r="D29">
        <v>290</v>
      </c>
      <c r="E29" s="2">
        <f>D29*10</f>
        <v>2900</v>
      </c>
      <c r="F29">
        <v>770</v>
      </c>
      <c r="G29">
        <v>770</v>
      </c>
      <c r="H29">
        <v>470</v>
      </c>
      <c r="I29">
        <v>470</v>
      </c>
      <c r="J29">
        <v>800</v>
      </c>
      <c r="K29">
        <v>250</v>
      </c>
      <c r="L29">
        <v>600</v>
      </c>
      <c r="M29">
        <v>600</v>
      </c>
      <c r="O29">
        <v>435</v>
      </c>
      <c r="P29">
        <v>34.1</v>
      </c>
      <c r="T29" t="s">
        <v>77</v>
      </c>
    </row>
    <row r="30" spans="1:20" x14ac:dyDescent="0.25">
      <c r="A30" t="s">
        <v>30</v>
      </c>
      <c r="B30" t="s">
        <v>75</v>
      </c>
      <c r="C30" t="s">
        <v>78</v>
      </c>
      <c r="D30">
        <v>350</v>
      </c>
      <c r="E30" s="2">
        <f t="shared" si="0"/>
        <v>3500</v>
      </c>
      <c r="F30">
        <v>850</v>
      </c>
      <c r="G30">
        <v>850</v>
      </c>
      <c r="H30">
        <v>550</v>
      </c>
      <c r="I30">
        <v>550</v>
      </c>
      <c r="J30">
        <v>1000</v>
      </c>
      <c r="K30">
        <v>300</v>
      </c>
      <c r="L30">
        <v>700</v>
      </c>
      <c r="M30">
        <v>700</v>
      </c>
      <c r="O30">
        <v>525</v>
      </c>
      <c r="P30">
        <v>37.4</v>
      </c>
      <c r="T30" t="s">
        <v>79</v>
      </c>
    </row>
    <row r="31" spans="1:20" x14ac:dyDescent="0.25">
      <c r="A31" t="s">
        <v>30</v>
      </c>
      <c r="B31" t="s">
        <v>75</v>
      </c>
      <c r="C31" t="s">
        <v>80</v>
      </c>
      <c r="D31">
        <v>400</v>
      </c>
      <c r="E31" s="2">
        <f t="shared" si="0"/>
        <v>4000</v>
      </c>
      <c r="F31">
        <v>900</v>
      </c>
      <c r="G31">
        <v>900</v>
      </c>
      <c r="H31">
        <v>600</v>
      </c>
      <c r="I31">
        <v>600</v>
      </c>
      <c r="J31">
        <v>1100</v>
      </c>
      <c r="K31">
        <v>300</v>
      </c>
      <c r="L31">
        <v>800</v>
      </c>
      <c r="M31">
        <v>800</v>
      </c>
      <c r="O31">
        <v>600</v>
      </c>
      <c r="P31">
        <v>40</v>
      </c>
      <c r="T31" t="s">
        <v>81</v>
      </c>
    </row>
    <row r="32" spans="1:20" x14ac:dyDescent="0.25">
      <c r="A32" t="s">
        <v>30</v>
      </c>
      <c r="B32" t="s">
        <v>75</v>
      </c>
      <c r="C32" t="s">
        <v>82</v>
      </c>
      <c r="D32">
        <v>800</v>
      </c>
      <c r="E32" s="2">
        <f t="shared" si="0"/>
        <v>8000</v>
      </c>
      <c r="F32">
        <v>1000</v>
      </c>
      <c r="G32">
        <v>1000</v>
      </c>
      <c r="H32">
        <v>700</v>
      </c>
      <c r="I32">
        <v>700</v>
      </c>
      <c r="J32">
        <v>1300</v>
      </c>
      <c r="K32">
        <v>350</v>
      </c>
      <c r="L32">
        <v>900</v>
      </c>
      <c r="M32">
        <v>900</v>
      </c>
      <c r="O32">
        <v>1200</v>
      </c>
      <c r="P32">
        <v>56.6</v>
      </c>
      <c r="T32" t="s">
        <v>83</v>
      </c>
    </row>
    <row r="33" spans="1:20" x14ac:dyDescent="0.25">
      <c r="A33" t="s">
        <v>30</v>
      </c>
      <c r="B33" t="s">
        <v>75</v>
      </c>
      <c r="C33" t="s">
        <v>84</v>
      </c>
      <c r="D33">
        <v>800</v>
      </c>
      <c r="E33" s="2">
        <f t="shared" si="0"/>
        <v>8000</v>
      </c>
      <c r="F33">
        <v>1100</v>
      </c>
      <c r="G33">
        <v>1100</v>
      </c>
      <c r="H33">
        <v>800</v>
      </c>
      <c r="I33">
        <v>800</v>
      </c>
      <c r="J33">
        <v>1400</v>
      </c>
      <c r="K33">
        <v>400</v>
      </c>
      <c r="L33">
        <v>1000</v>
      </c>
      <c r="M33">
        <v>1000</v>
      </c>
      <c r="O33">
        <v>1200</v>
      </c>
      <c r="P33">
        <v>56.6</v>
      </c>
      <c r="T33" t="s">
        <v>85</v>
      </c>
    </row>
    <row r="34" spans="1:20" x14ac:dyDescent="0.25">
      <c r="A34" t="s">
        <v>30</v>
      </c>
      <c r="B34" t="s">
        <v>75</v>
      </c>
      <c r="C34" t="s">
        <v>86</v>
      </c>
      <c r="D34">
        <v>1300</v>
      </c>
      <c r="E34" s="2">
        <f t="shared" si="0"/>
        <v>13000</v>
      </c>
      <c r="F34">
        <v>1300</v>
      </c>
      <c r="G34">
        <v>1300</v>
      </c>
      <c r="H34">
        <v>900</v>
      </c>
      <c r="I34">
        <v>900</v>
      </c>
      <c r="J34">
        <v>1800</v>
      </c>
      <c r="K34">
        <v>500</v>
      </c>
      <c r="L34">
        <v>1200</v>
      </c>
      <c r="M34">
        <v>1200</v>
      </c>
      <c r="O34">
        <v>1950</v>
      </c>
      <c r="P34">
        <v>72.099999999999994</v>
      </c>
      <c r="T34" t="s">
        <v>87</v>
      </c>
    </row>
    <row r="35" spans="1:20" x14ac:dyDescent="0.25">
      <c r="A35" t="s">
        <v>30</v>
      </c>
      <c r="B35" t="s">
        <v>75</v>
      </c>
      <c r="C35" t="s">
        <v>88</v>
      </c>
      <c r="D35">
        <v>2100</v>
      </c>
      <c r="E35" s="2">
        <f t="shared" si="0"/>
        <v>21000</v>
      </c>
      <c r="F35">
        <v>1500</v>
      </c>
      <c r="G35">
        <v>1500</v>
      </c>
      <c r="H35">
        <v>1100</v>
      </c>
      <c r="I35">
        <v>1100</v>
      </c>
      <c r="J35">
        <v>2000</v>
      </c>
      <c r="K35">
        <v>600</v>
      </c>
      <c r="L35">
        <v>1400</v>
      </c>
      <c r="M35">
        <v>1400</v>
      </c>
      <c r="O35">
        <v>3150</v>
      </c>
      <c r="P35">
        <v>91.7</v>
      </c>
      <c r="T35" t="s">
        <v>89</v>
      </c>
    </row>
    <row r="36" spans="1:20" x14ac:dyDescent="0.25">
      <c r="A36" t="s">
        <v>30</v>
      </c>
      <c r="B36" t="s">
        <v>90</v>
      </c>
      <c r="C36" t="s">
        <v>91</v>
      </c>
      <c r="D36">
        <v>30</v>
      </c>
      <c r="E36" s="2">
        <f t="shared" si="0"/>
        <v>300</v>
      </c>
      <c r="F36">
        <v>350</v>
      </c>
      <c r="G36">
        <v>350</v>
      </c>
      <c r="H36">
        <v>350</v>
      </c>
      <c r="I36">
        <v>350</v>
      </c>
      <c r="J36">
        <v>400</v>
      </c>
      <c r="K36">
        <v>120</v>
      </c>
      <c r="L36">
        <v>250</v>
      </c>
      <c r="M36">
        <v>200</v>
      </c>
      <c r="O36">
        <v>45</v>
      </c>
      <c r="P36">
        <v>11</v>
      </c>
      <c r="T36" t="s">
        <v>92</v>
      </c>
    </row>
    <row r="37" spans="1:20" x14ac:dyDescent="0.25">
      <c r="A37" t="s">
        <v>30</v>
      </c>
      <c r="B37" t="s">
        <v>90</v>
      </c>
      <c r="C37" t="s">
        <v>93</v>
      </c>
      <c r="D37">
        <v>60</v>
      </c>
      <c r="E37" s="2">
        <f t="shared" si="0"/>
        <v>600</v>
      </c>
      <c r="F37">
        <v>450</v>
      </c>
      <c r="G37">
        <v>450</v>
      </c>
      <c r="H37">
        <v>450</v>
      </c>
      <c r="I37">
        <v>450</v>
      </c>
      <c r="J37">
        <v>500</v>
      </c>
      <c r="K37">
        <v>150</v>
      </c>
      <c r="L37">
        <v>300</v>
      </c>
      <c r="M37">
        <v>300</v>
      </c>
      <c r="O37">
        <v>90</v>
      </c>
      <c r="P37">
        <v>15.5</v>
      </c>
      <c r="T37" t="s">
        <v>94</v>
      </c>
    </row>
    <row r="38" spans="1:20" x14ac:dyDescent="0.25">
      <c r="A38" t="s">
        <v>30</v>
      </c>
      <c r="B38" t="s">
        <v>90</v>
      </c>
      <c r="C38" t="s">
        <v>95</v>
      </c>
      <c r="D38">
        <v>100</v>
      </c>
      <c r="E38" s="2">
        <f t="shared" si="0"/>
        <v>1000</v>
      </c>
      <c r="F38">
        <v>500</v>
      </c>
      <c r="G38">
        <v>500</v>
      </c>
      <c r="H38">
        <v>500</v>
      </c>
      <c r="I38">
        <v>500</v>
      </c>
      <c r="J38">
        <v>500</v>
      </c>
      <c r="K38">
        <v>150</v>
      </c>
      <c r="L38">
        <v>350</v>
      </c>
      <c r="M38">
        <v>300</v>
      </c>
      <c r="O38">
        <v>150</v>
      </c>
      <c r="P38">
        <v>20</v>
      </c>
      <c r="T38" t="s">
        <v>96</v>
      </c>
    </row>
    <row r="39" spans="1:20" x14ac:dyDescent="0.25">
      <c r="A39" t="s">
        <v>15</v>
      </c>
      <c r="B39" t="s">
        <v>16</v>
      </c>
      <c r="C39" t="s">
        <v>17</v>
      </c>
      <c r="D39">
        <v>1100</v>
      </c>
      <c r="E39" s="2">
        <f t="shared" si="0"/>
        <v>11000</v>
      </c>
      <c r="F39">
        <v>2000</v>
      </c>
      <c r="G39">
        <v>1830</v>
      </c>
      <c r="H39">
        <v>1400</v>
      </c>
      <c r="I39">
        <v>1150</v>
      </c>
      <c r="J39">
        <v>2400</v>
      </c>
      <c r="K39">
        <v>600</v>
      </c>
      <c r="L39">
        <v>1200</v>
      </c>
      <c r="M39">
        <v>1800</v>
      </c>
      <c r="N39">
        <v>600</v>
      </c>
      <c r="O39">
        <v>1650</v>
      </c>
      <c r="P39">
        <v>66.3</v>
      </c>
      <c r="T39" t="s">
        <v>18</v>
      </c>
    </row>
    <row r="40" spans="1:20" x14ac:dyDescent="0.25">
      <c r="A40" t="s">
        <v>15</v>
      </c>
      <c r="B40" t="s">
        <v>19</v>
      </c>
      <c r="C40" t="s">
        <v>20</v>
      </c>
      <c r="D40">
        <v>100</v>
      </c>
      <c r="E40" s="2">
        <f t="shared" si="0"/>
        <v>1000</v>
      </c>
      <c r="F40">
        <v>650</v>
      </c>
      <c r="G40">
        <v>600</v>
      </c>
      <c r="H40">
        <v>650</v>
      </c>
      <c r="I40">
        <v>600</v>
      </c>
      <c r="J40">
        <v>800</v>
      </c>
      <c r="K40">
        <v>150</v>
      </c>
      <c r="L40">
        <v>600</v>
      </c>
      <c r="M40">
        <v>450</v>
      </c>
      <c r="N40">
        <v>150</v>
      </c>
      <c r="O40">
        <v>150</v>
      </c>
      <c r="P40">
        <v>20</v>
      </c>
      <c r="T40" t="s">
        <v>21</v>
      </c>
    </row>
    <row r="41" spans="1:20" x14ac:dyDescent="0.25">
      <c r="A41" t="s">
        <v>15</v>
      </c>
      <c r="B41" t="s">
        <v>22</v>
      </c>
      <c r="C41" t="s">
        <v>23</v>
      </c>
      <c r="D41">
        <v>500</v>
      </c>
      <c r="E41" s="2">
        <f t="shared" si="0"/>
        <v>5000</v>
      </c>
      <c r="F41">
        <v>1200</v>
      </c>
      <c r="G41">
        <v>1200</v>
      </c>
      <c r="H41">
        <v>840</v>
      </c>
      <c r="I41">
        <v>840</v>
      </c>
      <c r="J41">
        <v>1560</v>
      </c>
      <c r="K41">
        <v>300</v>
      </c>
      <c r="L41">
        <v>860</v>
      </c>
      <c r="M41">
        <v>700</v>
      </c>
      <c r="N41">
        <v>300</v>
      </c>
      <c r="O41">
        <v>750</v>
      </c>
      <c r="P41">
        <v>44.7</v>
      </c>
      <c r="T41" t="s">
        <v>24</v>
      </c>
    </row>
    <row r="42" spans="1:20" x14ac:dyDescent="0.25">
      <c r="A42" t="s">
        <v>15</v>
      </c>
      <c r="B42" t="s">
        <v>22</v>
      </c>
      <c r="C42" t="s">
        <v>25</v>
      </c>
      <c r="D42">
        <v>60</v>
      </c>
      <c r="E42" s="2">
        <f t="shared" si="0"/>
        <v>600</v>
      </c>
      <c r="F42">
        <v>650</v>
      </c>
      <c r="G42">
        <v>430</v>
      </c>
      <c r="H42">
        <v>650</v>
      </c>
      <c r="I42">
        <v>430</v>
      </c>
      <c r="J42">
        <v>520</v>
      </c>
      <c r="K42">
        <v>190</v>
      </c>
      <c r="L42">
        <v>520</v>
      </c>
      <c r="M42">
        <v>330</v>
      </c>
      <c r="N42">
        <v>190</v>
      </c>
      <c r="O42">
        <v>90</v>
      </c>
      <c r="P42">
        <v>15.5</v>
      </c>
      <c r="T42" t="s">
        <v>26</v>
      </c>
    </row>
    <row r="43" spans="1:20" x14ac:dyDescent="0.25">
      <c r="A43" t="s">
        <v>15</v>
      </c>
      <c r="B43" t="s">
        <v>27</v>
      </c>
      <c r="C43" t="s">
        <v>28</v>
      </c>
      <c r="D43">
        <v>380</v>
      </c>
      <c r="E43" s="2">
        <f t="shared" si="0"/>
        <v>3800</v>
      </c>
      <c r="F43">
        <v>1050</v>
      </c>
      <c r="G43">
        <v>950</v>
      </c>
      <c r="H43">
        <v>1050</v>
      </c>
      <c r="I43">
        <v>950</v>
      </c>
      <c r="O43">
        <v>570</v>
      </c>
      <c r="P43">
        <v>39</v>
      </c>
      <c r="T43" t="s">
        <v>29</v>
      </c>
    </row>
    <row r="44" spans="1:20" x14ac:dyDescent="0.25">
      <c r="A44" t="s">
        <v>15</v>
      </c>
      <c r="B44" t="s">
        <v>247</v>
      </c>
      <c r="C44" t="s">
        <v>248</v>
      </c>
      <c r="D44">
        <v>40</v>
      </c>
      <c r="E44" s="2">
        <f t="shared" si="0"/>
        <v>400</v>
      </c>
      <c r="F44">
        <v>442</v>
      </c>
      <c r="G44">
        <v>442</v>
      </c>
      <c r="H44">
        <v>375</v>
      </c>
      <c r="I44">
        <v>375</v>
      </c>
      <c r="J44">
        <v>795</v>
      </c>
      <c r="K44">
        <v>176</v>
      </c>
      <c r="L44">
        <v>530</v>
      </c>
      <c r="M44">
        <v>353</v>
      </c>
      <c r="N44">
        <v>529</v>
      </c>
      <c r="O44">
        <v>60</v>
      </c>
      <c r="P44">
        <v>12.6</v>
      </c>
      <c r="T44" t="s">
        <v>249</v>
      </c>
    </row>
    <row r="45" spans="1:20" x14ac:dyDescent="0.25">
      <c r="A45" t="s">
        <v>15</v>
      </c>
      <c r="B45" t="s">
        <v>247</v>
      </c>
      <c r="C45" t="s">
        <v>250</v>
      </c>
      <c r="D45">
        <v>50</v>
      </c>
      <c r="E45" s="2">
        <f t="shared" si="0"/>
        <v>500</v>
      </c>
      <c r="F45">
        <v>494</v>
      </c>
      <c r="G45">
        <v>494</v>
      </c>
      <c r="H45">
        <v>419</v>
      </c>
      <c r="I45">
        <v>419</v>
      </c>
      <c r="J45">
        <v>889</v>
      </c>
      <c r="K45">
        <v>197</v>
      </c>
      <c r="L45">
        <v>592</v>
      </c>
      <c r="M45">
        <v>395</v>
      </c>
      <c r="N45">
        <v>592</v>
      </c>
      <c r="O45">
        <v>75</v>
      </c>
      <c r="P45">
        <v>14.1</v>
      </c>
      <c r="T45" t="s">
        <v>249</v>
      </c>
    </row>
    <row r="46" spans="1:20" x14ac:dyDescent="0.25">
      <c r="A46" t="s">
        <v>15</v>
      </c>
      <c r="B46" t="s">
        <v>247</v>
      </c>
      <c r="C46" t="s">
        <v>251</v>
      </c>
      <c r="D46">
        <v>80</v>
      </c>
      <c r="E46" s="2">
        <f t="shared" si="0"/>
        <v>800</v>
      </c>
      <c r="F46">
        <v>626</v>
      </c>
      <c r="G46">
        <v>626</v>
      </c>
      <c r="H46">
        <v>532</v>
      </c>
      <c r="I46">
        <v>532</v>
      </c>
      <c r="J46">
        <v>1126</v>
      </c>
      <c r="K46">
        <v>250</v>
      </c>
      <c r="L46">
        <v>751</v>
      </c>
      <c r="M46">
        <v>500</v>
      </c>
      <c r="N46">
        <v>750</v>
      </c>
      <c r="O46">
        <v>120</v>
      </c>
      <c r="P46">
        <v>17.899999999999999</v>
      </c>
      <c r="T46" t="s">
        <v>249</v>
      </c>
    </row>
    <row r="47" spans="1:20" x14ac:dyDescent="0.25">
      <c r="A47" t="s">
        <v>15</v>
      </c>
      <c r="B47" t="s">
        <v>247</v>
      </c>
      <c r="C47" t="s">
        <v>252</v>
      </c>
      <c r="D47">
        <v>100</v>
      </c>
      <c r="E47" s="2">
        <f t="shared" si="0"/>
        <v>1000</v>
      </c>
      <c r="F47">
        <v>700</v>
      </c>
      <c r="G47">
        <v>700</v>
      </c>
      <c r="H47">
        <v>595</v>
      </c>
      <c r="I47">
        <v>595</v>
      </c>
      <c r="J47">
        <v>1260</v>
      </c>
      <c r="K47">
        <v>280</v>
      </c>
      <c r="L47">
        <v>840</v>
      </c>
      <c r="M47">
        <v>560</v>
      </c>
      <c r="N47">
        <v>840</v>
      </c>
      <c r="O47">
        <v>150</v>
      </c>
      <c r="P47">
        <v>20</v>
      </c>
      <c r="T47" t="s">
        <v>249</v>
      </c>
    </row>
    <row r="48" spans="1:20" x14ac:dyDescent="0.25">
      <c r="A48" t="s">
        <v>15</v>
      </c>
      <c r="B48" t="s">
        <v>247</v>
      </c>
      <c r="C48" t="s">
        <v>253</v>
      </c>
      <c r="D48">
        <v>130</v>
      </c>
      <c r="E48" s="2">
        <f>D48*10</f>
        <v>1300</v>
      </c>
      <c r="F48">
        <v>798</v>
      </c>
      <c r="G48">
        <v>798</v>
      </c>
      <c r="H48">
        <v>678</v>
      </c>
      <c r="I48">
        <v>678</v>
      </c>
      <c r="J48">
        <v>1436</v>
      </c>
      <c r="K48">
        <v>319</v>
      </c>
      <c r="L48">
        <v>957</v>
      </c>
      <c r="M48">
        <v>638</v>
      </c>
      <c r="N48">
        <v>957</v>
      </c>
      <c r="O48">
        <v>195</v>
      </c>
      <c r="P48">
        <v>22.8</v>
      </c>
      <c r="T48" t="s">
        <v>249</v>
      </c>
    </row>
    <row r="49" spans="1:20" x14ac:dyDescent="0.25">
      <c r="A49" t="s">
        <v>15</v>
      </c>
      <c r="B49" t="s">
        <v>247</v>
      </c>
      <c r="C49" t="s">
        <v>254</v>
      </c>
      <c r="D49">
        <v>160</v>
      </c>
      <c r="E49" s="2">
        <f t="shared" si="0"/>
        <v>1600</v>
      </c>
      <c r="F49">
        <v>885</v>
      </c>
      <c r="G49">
        <v>885</v>
      </c>
      <c r="H49">
        <v>752</v>
      </c>
      <c r="I49">
        <v>752</v>
      </c>
      <c r="J49">
        <v>1593</v>
      </c>
      <c r="K49">
        <v>354</v>
      </c>
      <c r="L49">
        <v>1062</v>
      </c>
      <c r="M49">
        <v>708</v>
      </c>
      <c r="N49">
        <v>1062</v>
      </c>
      <c r="O49">
        <v>240</v>
      </c>
      <c r="P49">
        <v>25.3</v>
      </c>
      <c r="T49" t="s">
        <v>249</v>
      </c>
    </row>
    <row r="50" spans="1:20" x14ac:dyDescent="0.25">
      <c r="A50" t="s">
        <v>15</v>
      </c>
      <c r="B50" t="s">
        <v>247</v>
      </c>
      <c r="C50" t="s">
        <v>255</v>
      </c>
      <c r="D50">
        <v>180</v>
      </c>
      <c r="E50" s="2">
        <f t="shared" si="0"/>
        <v>1800</v>
      </c>
      <c r="F50">
        <v>939</v>
      </c>
      <c r="G50">
        <v>939</v>
      </c>
      <c r="H50">
        <v>798</v>
      </c>
      <c r="I50">
        <v>798</v>
      </c>
      <c r="J50">
        <v>1690</v>
      </c>
      <c r="K50">
        <v>375</v>
      </c>
      <c r="L50">
        <v>1126</v>
      </c>
      <c r="M50">
        <v>751</v>
      </c>
      <c r="N50">
        <v>1126</v>
      </c>
      <c r="O50">
        <v>270</v>
      </c>
      <c r="P50">
        <v>26.8</v>
      </c>
      <c r="T50" t="s">
        <v>249</v>
      </c>
    </row>
    <row r="51" spans="1:20" x14ac:dyDescent="0.25">
      <c r="A51" t="s">
        <v>15</v>
      </c>
      <c r="B51" t="s">
        <v>247</v>
      </c>
      <c r="C51" t="s">
        <v>256</v>
      </c>
      <c r="D51">
        <v>200</v>
      </c>
      <c r="E51" s="2">
        <f t="shared" si="0"/>
        <v>2000</v>
      </c>
      <c r="F51">
        <v>989</v>
      </c>
      <c r="G51">
        <v>989</v>
      </c>
      <c r="H51">
        <v>840</v>
      </c>
      <c r="I51">
        <v>840</v>
      </c>
      <c r="J51">
        <v>1780</v>
      </c>
      <c r="K51">
        <v>395</v>
      </c>
      <c r="L51">
        <v>1186</v>
      </c>
      <c r="M51">
        <v>791</v>
      </c>
      <c r="N51">
        <v>1186</v>
      </c>
      <c r="O51">
        <v>300</v>
      </c>
      <c r="P51">
        <v>28.3</v>
      </c>
      <c r="T51" t="s">
        <v>249</v>
      </c>
    </row>
    <row r="52" spans="1:20" x14ac:dyDescent="0.25">
      <c r="A52" t="s">
        <v>15</v>
      </c>
      <c r="B52" t="s">
        <v>247</v>
      </c>
      <c r="C52" t="s">
        <v>257</v>
      </c>
      <c r="D52">
        <v>220</v>
      </c>
      <c r="E52" s="2">
        <f t="shared" si="0"/>
        <v>2200</v>
      </c>
      <c r="F52">
        <v>1038</v>
      </c>
      <c r="G52">
        <v>1038</v>
      </c>
      <c r="H52">
        <v>882</v>
      </c>
      <c r="I52">
        <v>882</v>
      </c>
      <c r="J52">
        <v>1868</v>
      </c>
      <c r="K52">
        <v>415</v>
      </c>
      <c r="L52">
        <v>1245</v>
      </c>
      <c r="M52">
        <v>830</v>
      </c>
      <c r="N52">
        <v>1245</v>
      </c>
      <c r="O52">
        <v>330</v>
      </c>
      <c r="P52">
        <v>29.7</v>
      </c>
      <c r="T52" t="s">
        <v>249</v>
      </c>
    </row>
    <row r="53" spans="1:20" x14ac:dyDescent="0.25">
      <c r="A53" t="s">
        <v>15</v>
      </c>
      <c r="B53" t="s">
        <v>247</v>
      </c>
      <c r="C53" t="s">
        <v>258</v>
      </c>
      <c r="D53">
        <v>280</v>
      </c>
      <c r="E53" s="2">
        <f t="shared" si="0"/>
        <v>2800</v>
      </c>
      <c r="F53">
        <v>1171</v>
      </c>
      <c r="G53">
        <v>1171</v>
      </c>
      <c r="H53">
        <v>995</v>
      </c>
      <c r="I53">
        <v>995</v>
      </c>
      <c r="J53">
        <v>2107</v>
      </c>
      <c r="K53">
        <v>468</v>
      </c>
      <c r="L53">
        <v>1405</v>
      </c>
      <c r="M53">
        <v>936</v>
      </c>
      <c r="N53">
        <v>1404</v>
      </c>
      <c r="O53">
        <v>420</v>
      </c>
      <c r="P53">
        <v>33.5</v>
      </c>
      <c r="T53" t="s">
        <v>249</v>
      </c>
    </row>
    <row r="54" spans="1:20" x14ac:dyDescent="0.25">
      <c r="A54" t="s">
        <v>15</v>
      </c>
      <c r="B54" t="s">
        <v>247</v>
      </c>
      <c r="C54" t="s">
        <v>259</v>
      </c>
      <c r="D54">
        <v>380</v>
      </c>
      <c r="E54" s="2">
        <f t="shared" si="0"/>
        <v>3800</v>
      </c>
      <c r="F54">
        <v>1364</v>
      </c>
      <c r="G54">
        <v>1364</v>
      </c>
      <c r="H54">
        <v>1159</v>
      </c>
      <c r="I54">
        <v>1159</v>
      </c>
      <c r="J54">
        <v>2455</v>
      </c>
      <c r="K54">
        <v>545</v>
      </c>
      <c r="L54">
        <v>1636</v>
      </c>
      <c r="M54">
        <v>1091</v>
      </c>
      <c r="N54">
        <v>1636</v>
      </c>
      <c r="O54">
        <v>570</v>
      </c>
      <c r="P54">
        <v>39</v>
      </c>
      <c r="T54" t="s">
        <v>249</v>
      </c>
    </row>
    <row r="55" spans="1:20" x14ac:dyDescent="0.25">
      <c r="A55" t="s">
        <v>15</v>
      </c>
      <c r="B55" t="s">
        <v>247</v>
      </c>
      <c r="C55" t="s">
        <v>260</v>
      </c>
      <c r="D55">
        <v>450</v>
      </c>
      <c r="E55" s="2">
        <f t="shared" si="0"/>
        <v>4500</v>
      </c>
      <c r="F55">
        <v>1484</v>
      </c>
      <c r="G55">
        <v>1484</v>
      </c>
      <c r="H55">
        <v>1261</v>
      </c>
      <c r="I55">
        <v>1261</v>
      </c>
      <c r="J55">
        <v>2671</v>
      </c>
      <c r="K55">
        <v>593</v>
      </c>
      <c r="L55">
        <v>1780</v>
      </c>
      <c r="M55">
        <v>1187</v>
      </c>
      <c r="N55">
        <v>1780</v>
      </c>
      <c r="O55">
        <v>675</v>
      </c>
      <c r="P55">
        <v>42.4</v>
      </c>
      <c r="T55" t="s">
        <v>249</v>
      </c>
    </row>
    <row r="56" spans="1:20" x14ac:dyDescent="0.25">
      <c r="A56" t="s">
        <v>15</v>
      </c>
      <c r="B56" t="s">
        <v>247</v>
      </c>
      <c r="C56" t="s">
        <v>261</v>
      </c>
      <c r="D56">
        <v>550</v>
      </c>
      <c r="E56" s="2">
        <f t="shared" si="0"/>
        <v>5500</v>
      </c>
      <c r="F56">
        <v>1641</v>
      </c>
      <c r="G56">
        <v>1641</v>
      </c>
      <c r="H56">
        <v>1394</v>
      </c>
      <c r="I56">
        <v>1394</v>
      </c>
      <c r="J56">
        <v>2953</v>
      </c>
      <c r="K56">
        <v>656</v>
      </c>
      <c r="L56">
        <v>1969</v>
      </c>
      <c r="M56">
        <v>1312</v>
      </c>
      <c r="N56">
        <v>1968</v>
      </c>
      <c r="O56">
        <v>825</v>
      </c>
      <c r="P56">
        <v>46.9</v>
      </c>
      <c r="T56" t="s">
        <v>249</v>
      </c>
    </row>
    <row r="57" spans="1:20" x14ac:dyDescent="0.25">
      <c r="A57" t="s">
        <v>15</v>
      </c>
      <c r="B57" t="s">
        <v>247</v>
      </c>
      <c r="C57" t="s">
        <v>262</v>
      </c>
      <c r="D57">
        <v>700</v>
      </c>
      <c r="E57" s="2">
        <f t="shared" si="0"/>
        <v>7000</v>
      </c>
      <c r="F57">
        <v>1852</v>
      </c>
      <c r="G57">
        <v>1852</v>
      </c>
      <c r="H57">
        <v>1574</v>
      </c>
      <c r="I57">
        <v>1574</v>
      </c>
      <c r="J57">
        <v>3333</v>
      </c>
      <c r="K57">
        <v>740</v>
      </c>
      <c r="L57">
        <v>2222</v>
      </c>
      <c r="M57">
        <v>1481</v>
      </c>
      <c r="N57">
        <v>2221</v>
      </c>
      <c r="O57">
        <v>1050</v>
      </c>
      <c r="P57">
        <v>52.9</v>
      </c>
      <c r="T57" t="s">
        <v>249</v>
      </c>
    </row>
    <row r="58" spans="1:20" x14ac:dyDescent="0.25">
      <c r="A58" t="s">
        <v>15</v>
      </c>
      <c r="B58" t="s">
        <v>247</v>
      </c>
      <c r="C58" t="s">
        <v>263</v>
      </c>
      <c r="D58">
        <v>900</v>
      </c>
      <c r="E58" s="2">
        <f t="shared" si="0"/>
        <v>9000</v>
      </c>
      <c r="F58">
        <v>2100</v>
      </c>
      <c r="G58">
        <v>2100</v>
      </c>
      <c r="H58">
        <v>1785</v>
      </c>
      <c r="I58">
        <v>1785</v>
      </c>
      <c r="J58">
        <v>3780</v>
      </c>
      <c r="K58">
        <v>840</v>
      </c>
      <c r="L58">
        <v>2520</v>
      </c>
      <c r="M58">
        <v>1680</v>
      </c>
      <c r="N58">
        <v>2520</v>
      </c>
      <c r="O58">
        <v>1350</v>
      </c>
      <c r="P58">
        <v>60</v>
      </c>
      <c r="T58" t="s">
        <v>249</v>
      </c>
    </row>
    <row r="59" spans="1:20" x14ac:dyDescent="0.25">
      <c r="A59" t="s">
        <v>15</v>
      </c>
      <c r="B59" t="s">
        <v>247</v>
      </c>
      <c r="C59" t="s">
        <v>264</v>
      </c>
      <c r="D59">
        <v>1100</v>
      </c>
      <c r="E59" s="2">
        <f t="shared" si="0"/>
        <v>11000</v>
      </c>
      <c r="F59">
        <v>2321</v>
      </c>
      <c r="G59">
        <v>2321</v>
      </c>
      <c r="H59">
        <v>1972</v>
      </c>
      <c r="I59">
        <v>1972</v>
      </c>
      <c r="J59">
        <v>4177</v>
      </c>
      <c r="K59">
        <v>928</v>
      </c>
      <c r="L59">
        <v>2785</v>
      </c>
      <c r="M59">
        <v>1856</v>
      </c>
      <c r="N59">
        <v>2784</v>
      </c>
      <c r="O59">
        <v>1650</v>
      </c>
      <c r="P59">
        <v>66.3</v>
      </c>
      <c r="T59" t="s">
        <v>249</v>
      </c>
    </row>
    <row r="60" spans="1:20" x14ac:dyDescent="0.25">
      <c r="A60" t="s">
        <v>15</v>
      </c>
      <c r="B60" t="s">
        <v>247</v>
      </c>
      <c r="C60" t="s">
        <v>265</v>
      </c>
      <c r="D60">
        <v>1500</v>
      </c>
      <c r="E60" s="2">
        <f t="shared" si="0"/>
        <v>15000</v>
      </c>
      <c r="F60">
        <v>2711</v>
      </c>
      <c r="G60">
        <v>2711</v>
      </c>
      <c r="H60">
        <v>2304</v>
      </c>
      <c r="I60">
        <v>2304</v>
      </c>
      <c r="J60">
        <v>4879</v>
      </c>
      <c r="K60">
        <v>1084</v>
      </c>
      <c r="L60">
        <v>3253</v>
      </c>
      <c r="M60">
        <v>2168</v>
      </c>
      <c r="N60">
        <v>3252</v>
      </c>
      <c r="O60">
        <v>2250</v>
      </c>
      <c r="P60">
        <v>77.5</v>
      </c>
      <c r="T60" t="s">
        <v>249</v>
      </c>
    </row>
    <row r="61" spans="1:20" x14ac:dyDescent="0.25">
      <c r="A61" t="s">
        <v>15</v>
      </c>
      <c r="B61" t="s">
        <v>247</v>
      </c>
      <c r="C61" t="s">
        <v>266</v>
      </c>
      <c r="D61">
        <v>2000</v>
      </c>
      <c r="E61" s="2">
        <f t="shared" si="0"/>
        <v>20000</v>
      </c>
      <c r="F61">
        <v>3130</v>
      </c>
      <c r="G61">
        <v>3130</v>
      </c>
      <c r="H61">
        <v>2660</v>
      </c>
      <c r="I61">
        <v>2660</v>
      </c>
      <c r="J61">
        <v>5634</v>
      </c>
      <c r="K61">
        <v>1252</v>
      </c>
      <c r="L61">
        <v>3756</v>
      </c>
      <c r="M61">
        <v>2504</v>
      </c>
      <c r="N61">
        <v>3756</v>
      </c>
      <c r="O61">
        <v>3000</v>
      </c>
      <c r="P61">
        <v>89.4</v>
      </c>
      <c r="T61" t="s">
        <v>249</v>
      </c>
    </row>
    <row r="62" spans="1:20" x14ac:dyDescent="0.25">
      <c r="A62" t="s">
        <v>15</v>
      </c>
      <c r="B62" t="s">
        <v>247</v>
      </c>
      <c r="C62" t="s">
        <v>267</v>
      </c>
      <c r="D62">
        <v>3000</v>
      </c>
      <c r="E62" s="2">
        <f t="shared" si="0"/>
        <v>30000</v>
      </c>
      <c r="F62">
        <v>3834</v>
      </c>
      <c r="G62">
        <v>3834</v>
      </c>
      <c r="H62">
        <v>3258</v>
      </c>
      <c r="I62">
        <v>3258</v>
      </c>
      <c r="J62">
        <v>6901</v>
      </c>
      <c r="K62">
        <v>1533</v>
      </c>
      <c r="L62">
        <v>4600</v>
      </c>
      <c r="M62">
        <v>3067</v>
      </c>
      <c r="N62">
        <v>4600</v>
      </c>
      <c r="O62">
        <v>4500</v>
      </c>
      <c r="P62">
        <v>109.5</v>
      </c>
      <c r="T62" t="s">
        <v>249</v>
      </c>
    </row>
    <row r="63" spans="1:20" x14ac:dyDescent="0.25">
      <c r="A63" t="s">
        <v>15</v>
      </c>
      <c r="B63" t="s">
        <v>271</v>
      </c>
      <c r="C63" t="s">
        <v>272</v>
      </c>
      <c r="D63">
        <v>100</v>
      </c>
      <c r="E63" s="2">
        <f t="shared" si="0"/>
        <v>1000</v>
      </c>
      <c r="F63">
        <v>650</v>
      </c>
      <c r="G63">
        <v>600</v>
      </c>
      <c r="H63">
        <v>460</v>
      </c>
      <c r="I63">
        <v>410</v>
      </c>
      <c r="J63">
        <v>800</v>
      </c>
      <c r="K63">
        <v>150</v>
      </c>
      <c r="L63">
        <v>450</v>
      </c>
      <c r="M63">
        <v>350</v>
      </c>
      <c r="N63">
        <v>150</v>
      </c>
      <c r="O63">
        <v>202</v>
      </c>
      <c r="P63">
        <v>40</v>
      </c>
      <c r="T63" t="s">
        <v>273</v>
      </c>
    </row>
    <row r="64" spans="1:20" x14ac:dyDescent="0.25">
      <c r="A64" t="s">
        <v>15</v>
      </c>
      <c r="B64" t="s">
        <v>271</v>
      </c>
      <c r="C64" t="s">
        <v>274</v>
      </c>
      <c r="D64">
        <v>130</v>
      </c>
      <c r="E64" s="2">
        <f t="shared" si="0"/>
        <v>1300</v>
      </c>
      <c r="H64">
        <v>530</v>
      </c>
      <c r="I64">
        <v>530</v>
      </c>
      <c r="K64">
        <v>150</v>
      </c>
      <c r="M64">
        <v>400</v>
      </c>
      <c r="N64">
        <v>150</v>
      </c>
      <c r="O64">
        <v>250</v>
      </c>
      <c r="P64" t="s">
        <v>275</v>
      </c>
      <c r="T64" t="s">
        <v>276</v>
      </c>
    </row>
    <row r="65" spans="1:20" x14ac:dyDescent="0.25">
      <c r="A65" t="s">
        <v>15</v>
      </c>
      <c r="B65" t="s">
        <v>271</v>
      </c>
      <c r="C65" t="s">
        <v>277</v>
      </c>
      <c r="D65">
        <v>180</v>
      </c>
      <c r="E65" s="2">
        <f t="shared" si="0"/>
        <v>1800</v>
      </c>
      <c r="H65">
        <v>570</v>
      </c>
      <c r="I65">
        <v>570</v>
      </c>
      <c r="K65">
        <v>150</v>
      </c>
      <c r="M65">
        <v>450</v>
      </c>
      <c r="N65">
        <v>150</v>
      </c>
      <c r="O65">
        <v>300</v>
      </c>
      <c r="P65" t="s">
        <v>278</v>
      </c>
      <c r="T65" t="s">
        <v>279</v>
      </c>
    </row>
    <row r="66" spans="1:20" x14ac:dyDescent="0.25">
      <c r="A66" t="s">
        <v>15</v>
      </c>
      <c r="B66" t="s">
        <v>271</v>
      </c>
      <c r="C66" t="s">
        <v>280</v>
      </c>
      <c r="D66">
        <v>220</v>
      </c>
      <c r="E66" s="2">
        <f t="shared" si="0"/>
        <v>2200</v>
      </c>
      <c r="H66">
        <v>650</v>
      </c>
      <c r="I66">
        <v>650</v>
      </c>
      <c r="K66">
        <v>150</v>
      </c>
      <c r="M66">
        <v>500</v>
      </c>
      <c r="N66">
        <v>150</v>
      </c>
      <c r="O66">
        <v>350</v>
      </c>
      <c r="P66" t="s">
        <v>281</v>
      </c>
      <c r="T66" t="s">
        <v>282</v>
      </c>
    </row>
    <row r="67" spans="1:20" x14ac:dyDescent="0.25">
      <c r="A67" t="s">
        <v>15</v>
      </c>
      <c r="B67" t="s">
        <v>271</v>
      </c>
      <c r="C67" t="s">
        <v>283</v>
      </c>
      <c r="D67">
        <v>500</v>
      </c>
      <c r="E67" s="2">
        <f t="shared" ref="E67:E69" si="1">D67*10</f>
        <v>5000</v>
      </c>
      <c r="H67">
        <v>830</v>
      </c>
      <c r="I67">
        <v>830</v>
      </c>
      <c r="K67">
        <v>150</v>
      </c>
      <c r="M67">
        <v>700</v>
      </c>
      <c r="N67">
        <v>150</v>
      </c>
      <c r="O67">
        <v>600</v>
      </c>
      <c r="P67" t="s">
        <v>284</v>
      </c>
      <c r="T67" t="s">
        <v>285</v>
      </c>
    </row>
    <row r="68" spans="1:20" x14ac:dyDescent="0.25">
      <c r="A68" t="s">
        <v>15</v>
      </c>
      <c r="B68" t="s">
        <v>271</v>
      </c>
      <c r="C68" t="s">
        <v>286</v>
      </c>
      <c r="D68">
        <v>85</v>
      </c>
      <c r="E68" s="2">
        <f t="shared" si="1"/>
        <v>850</v>
      </c>
      <c r="H68">
        <v>470</v>
      </c>
      <c r="I68">
        <v>420</v>
      </c>
      <c r="K68">
        <v>150</v>
      </c>
      <c r="M68">
        <v>320</v>
      </c>
      <c r="N68">
        <v>150</v>
      </c>
      <c r="O68">
        <v>23</v>
      </c>
      <c r="P68">
        <v>20</v>
      </c>
    </row>
    <row r="69" spans="1:20" x14ac:dyDescent="0.25">
      <c r="A69" t="s">
        <v>154</v>
      </c>
      <c r="B69" t="s">
        <v>155</v>
      </c>
      <c r="C69" t="s">
        <v>156</v>
      </c>
      <c r="D69">
        <v>130</v>
      </c>
      <c r="E69" s="2">
        <f t="shared" si="1"/>
        <v>1300</v>
      </c>
      <c r="F69">
        <v>750</v>
      </c>
      <c r="G69">
        <v>700</v>
      </c>
      <c r="H69">
        <v>500</v>
      </c>
      <c r="I69">
        <v>500</v>
      </c>
      <c r="J69">
        <v>800</v>
      </c>
      <c r="K69">
        <v>250</v>
      </c>
      <c r="L69">
        <v>550</v>
      </c>
      <c r="M69">
        <v>500</v>
      </c>
      <c r="O69">
        <v>195</v>
      </c>
      <c r="P69">
        <v>22.8</v>
      </c>
      <c r="T69" t="s">
        <v>157</v>
      </c>
    </row>
    <row r="70" spans="1:20" x14ac:dyDescent="0.25">
      <c r="A70" t="s">
        <v>154</v>
      </c>
      <c r="B70" t="s">
        <v>155</v>
      </c>
      <c r="C70" t="s">
        <v>158</v>
      </c>
      <c r="D70">
        <v>180</v>
      </c>
      <c r="E70" s="2">
        <f>D70*10</f>
        <v>1800</v>
      </c>
      <c r="F70">
        <v>850</v>
      </c>
      <c r="G70">
        <v>800</v>
      </c>
      <c r="H70">
        <v>580</v>
      </c>
      <c r="I70">
        <v>580</v>
      </c>
      <c r="J70">
        <v>900</v>
      </c>
      <c r="K70">
        <v>300</v>
      </c>
      <c r="L70">
        <v>600</v>
      </c>
      <c r="M70">
        <v>600</v>
      </c>
      <c r="O70">
        <v>270</v>
      </c>
      <c r="P70">
        <v>26.8</v>
      </c>
      <c r="T70" t="s">
        <v>159</v>
      </c>
    </row>
    <row r="71" spans="1:20" x14ac:dyDescent="0.25">
      <c r="A71" t="s">
        <v>154</v>
      </c>
      <c r="B71" t="s">
        <v>155</v>
      </c>
      <c r="C71" t="s">
        <v>160</v>
      </c>
      <c r="D71">
        <v>220</v>
      </c>
      <c r="E71" s="2">
        <f t="shared" ref="E71:E89" si="2">D71*10</f>
        <v>2200</v>
      </c>
      <c r="F71">
        <v>900</v>
      </c>
      <c r="G71">
        <v>850</v>
      </c>
      <c r="H71">
        <v>610</v>
      </c>
      <c r="I71">
        <v>610</v>
      </c>
      <c r="J71">
        <v>1000</v>
      </c>
      <c r="K71">
        <v>300</v>
      </c>
      <c r="L71">
        <v>700</v>
      </c>
      <c r="M71">
        <v>650</v>
      </c>
      <c r="O71">
        <v>330</v>
      </c>
      <c r="P71">
        <v>29.7</v>
      </c>
      <c r="T71" t="s">
        <v>161</v>
      </c>
    </row>
    <row r="72" spans="1:20" x14ac:dyDescent="0.25">
      <c r="A72" t="s">
        <v>154</v>
      </c>
      <c r="B72" t="s">
        <v>155</v>
      </c>
      <c r="C72" t="s">
        <v>162</v>
      </c>
      <c r="D72">
        <v>280</v>
      </c>
      <c r="E72" s="2">
        <f t="shared" si="2"/>
        <v>2800</v>
      </c>
      <c r="F72">
        <v>950</v>
      </c>
      <c r="G72">
        <v>900</v>
      </c>
      <c r="H72">
        <v>660</v>
      </c>
      <c r="I72">
        <v>660</v>
      </c>
      <c r="J72">
        <v>1100</v>
      </c>
      <c r="K72">
        <v>350</v>
      </c>
      <c r="L72">
        <v>750</v>
      </c>
      <c r="M72">
        <v>700</v>
      </c>
      <c r="O72">
        <v>420</v>
      </c>
      <c r="P72">
        <v>33.5</v>
      </c>
      <c r="T72" t="s">
        <v>163</v>
      </c>
    </row>
    <row r="73" spans="1:20" x14ac:dyDescent="0.25">
      <c r="A73" t="s">
        <v>154</v>
      </c>
      <c r="B73" t="s">
        <v>155</v>
      </c>
      <c r="C73" t="s">
        <v>164</v>
      </c>
      <c r="D73">
        <v>350</v>
      </c>
      <c r="E73" s="2">
        <f t="shared" si="2"/>
        <v>3500</v>
      </c>
      <c r="F73">
        <v>1050</v>
      </c>
      <c r="G73">
        <v>950</v>
      </c>
      <c r="H73">
        <v>710</v>
      </c>
      <c r="I73">
        <v>710</v>
      </c>
      <c r="J73">
        <v>1200</v>
      </c>
      <c r="K73">
        <v>400</v>
      </c>
      <c r="L73">
        <v>800</v>
      </c>
      <c r="M73">
        <v>800</v>
      </c>
      <c r="O73">
        <v>525</v>
      </c>
      <c r="P73">
        <v>37.4</v>
      </c>
      <c r="T73" t="s">
        <v>165</v>
      </c>
    </row>
    <row r="74" spans="1:20" x14ac:dyDescent="0.25">
      <c r="A74" t="s">
        <v>154</v>
      </c>
      <c r="B74" t="s">
        <v>155</v>
      </c>
      <c r="C74" t="s">
        <v>166</v>
      </c>
      <c r="D74">
        <v>420</v>
      </c>
      <c r="E74" s="2">
        <f t="shared" si="2"/>
        <v>4200</v>
      </c>
      <c r="F74">
        <v>1150</v>
      </c>
      <c r="G74">
        <v>1050</v>
      </c>
      <c r="H74">
        <v>820</v>
      </c>
      <c r="I74">
        <v>820</v>
      </c>
      <c r="J74">
        <v>1300</v>
      </c>
      <c r="K74">
        <v>400</v>
      </c>
      <c r="L74">
        <v>900</v>
      </c>
      <c r="M74">
        <v>900</v>
      </c>
      <c r="O74">
        <v>630</v>
      </c>
      <c r="P74">
        <v>41</v>
      </c>
      <c r="T74" t="s">
        <v>163</v>
      </c>
    </row>
    <row r="75" spans="1:20" x14ac:dyDescent="0.25">
      <c r="A75" t="s">
        <v>154</v>
      </c>
      <c r="B75" t="s">
        <v>155</v>
      </c>
      <c r="C75" t="s">
        <v>167</v>
      </c>
      <c r="D75">
        <v>520</v>
      </c>
      <c r="E75" s="2">
        <f t="shared" si="2"/>
        <v>5200</v>
      </c>
      <c r="F75">
        <v>1250</v>
      </c>
      <c r="G75">
        <v>1150</v>
      </c>
      <c r="H75">
        <v>920</v>
      </c>
      <c r="I75">
        <v>920</v>
      </c>
      <c r="J75">
        <v>1400</v>
      </c>
      <c r="K75">
        <v>450</v>
      </c>
      <c r="L75">
        <v>1000</v>
      </c>
      <c r="M75">
        <v>1000</v>
      </c>
      <c r="O75">
        <v>780</v>
      </c>
      <c r="P75">
        <v>45.6</v>
      </c>
      <c r="T75" t="s">
        <v>168</v>
      </c>
    </row>
    <row r="76" spans="1:20" x14ac:dyDescent="0.25">
      <c r="A76" t="s">
        <v>154</v>
      </c>
      <c r="B76" t="s">
        <v>155</v>
      </c>
      <c r="C76" t="s">
        <v>169</v>
      </c>
      <c r="D76">
        <v>600</v>
      </c>
      <c r="E76" s="2">
        <f t="shared" si="2"/>
        <v>6000</v>
      </c>
      <c r="F76">
        <v>1350</v>
      </c>
      <c r="G76">
        <v>1250</v>
      </c>
      <c r="H76">
        <v>1020</v>
      </c>
      <c r="I76">
        <v>1020</v>
      </c>
      <c r="J76">
        <v>1500</v>
      </c>
      <c r="K76">
        <v>500</v>
      </c>
      <c r="L76">
        <v>1100</v>
      </c>
      <c r="M76">
        <v>1100</v>
      </c>
      <c r="O76">
        <v>900</v>
      </c>
      <c r="P76">
        <v>49</v>
      </c>
      <c r="T76" t="s">
        <v>170</v>
      </c>
    </row>
    <row r="77" spans="1:20" x14ac:dyDescent="0.25">
      <c r="A77" t="s">
        <v>154</v>
      </c>
      <c r="B77" t="s">
        <v>171</v>
      </c>
      <c r="C77" t="s">
        <v>172</v>
      </c>
      <c r="D77">
        <v>130</v>
      </c>
      <c r="E77" s="2">
        <f t="shared" si="2"/>
        <v>1300</v>
      </c>
      <c r="F77">
        <v>750</v>
      </c>
      <c r="G77">
        <v>700</v>
      </c>
      <c r="H77">
        <v>500</v>
      </c>
      <c r="I77">
        <v>500</v>
      </c>
      <c r="J77">
        <v>800</v>
      </c>
      <c r="K77">
        <v>250</v>
      </c>
      <c r="L77">
        <v>550</v>
      </c>
      <c r="M77">
        <v>500</v>
      </c>
      <c r="O77">
        <v>195</v>
      </c>
      <c r="P77">
        <v>22.8</v>
      </c>
      <c r="T77" t="s">
        <v>173</v>
      </c>
    </row>
    <row r="78" spans="1:20" x14ac:dyDescent="0.25">
      <c r="A78" t="s">
        <v>154</v>
      </c>
      <c r="B78" t="s">
        <v>171</v>
      </c>
      <c r="C78" t="s">
        <v>174</v>
      </c>
      <c r="D78">
        <v>180</v>
      </c>
      <c r="E78" s="2">
        <f t="shared" si="2"/>
        <v>1800</v>
      </c>
      <c r="F78">
        <v>850</v>
      </c>
      <c r="G78">
        <v>800</v>
      </c>
      <c r="H78">
        <v>580</v>
      </c>
      <c r="I78">
        <v>580</v>
      </c>
      <c r="J78">
        <v>900</v>
      </c>
      <c r="K78">
        <v>300</v>
      </c>
      <c r="L78">
        <v>600</v>
      </c>
      <c r="M78">
        <v>600</v>
      </c>
      <c r="O78">
        <v>270</v>
      </c>
      <c r="P78">
        <v>26.8</v>
      </c>
      <c r="T78" t="s">
        <v>175</v>
      </c>
    </row>
    <row r="79" spans="1:20" x14ac:dyDescent="0.25">
      <c r="A79" t="s">
        <v>154</v>
      </c>
      <c r="B79" t="s">
        <v>171</v>
      </c>
      <c r="C79" t="s">
        <v>176</v>
      </c>
      <c r="D79">
        <v>220</v>
      </c>
      <c r="E79" s="2">
        <f t="shared" si="2"/>
        <v>2200</v>
      </c>
      <c r="F79">
        <v>900</v>
      </c>
      <c r="G79">
        <v>850</v>
      </c>
      <c r="H79">
        <v>610</v>
      </c>
      <c r="I79">
        <v>610</v>
      </c>
      <c r="J79">
        <v>1000</v>
      </c>
      <c r="K79">
        <v>300</v>
      </c>
      <c r="L79">
        <v>700</v>
      </c>
      <c r="M79">
        <v>650</v>
      </c>
      <c r="O79">
        <v>330</v>
      </c>
      <c r="P79">
        <v>29.7</v>
      </c>
      <c r="T79" t="s">
        <v>177</v>
      </c>
    </row>
    <row r="80" spans="1:20" x14ac:dyDescent="0.25">
      <c r="A80" t="s">
        <v>154</v>
      </c>
      <c r="B80" t="s">
        <v>171</v>
      </c>
      <c r="C80" t="s">
        <v>178</v>
      </c>
      <c r="D80">
        <v>280</v>
      </c>
      <c r="E80" s="2">
        <f t="shared" si="2"/>
        <v>2800</v>
      </c>
      <c r="F80">
        <v>950</v>
      </c>
      <c r="G80">
        <v>900</v>
      </c>
      <c r="H80">
        <v>660</v>
      </c>
      <c r="I80">
        <v>660</v>
      </c>
      <c r="J80">
        <v>1100</v>
      </c>
      <c r="K80">
        <v>350</v>
      </c>
      <c r="L80">
        <v>750</v>
      </c>
      <c r="M80">
        <v>700</v>
      </c>
      <c r="O80">
        <v>420</v>
      </c>
      <c r="P80">
        <v>33.5</v>
      </c>
      <c r="T80" t="s">
        <v>179</v>
      </c>
    </row>
    <row r="81" spans="1:20" x14ac:dyDescent="0.25">
      <c r="A81" t="s">
        <v>154</v>
      </c>
      <c r="B81" t="s">
        <v>171</v>
      </c>
      <c r="C81" t="s">
        <v>180</v>
      </c>
      <c r="D81">
        <v>350</v>
      </c>
      <c r="E81" s="2">
        <f t="shared" si="2"/>
        <v>3500</v>
      </c>
      <c r="F81">
        <v>1050</v>
      </c>
      <c r="G81">
        <v>950</v>
      </c>
      <c r="H81">
        <v>710</v>
      </c>
      <c r="I81">
        <v>710</v>
      </c>
      <c r="J81">
        <v>1200</v>
      </c>
      <c r="K81">
        <v>400</v>
      </c>
      <c r="L81">
        <v>800</v>
      </c>
      <c r="M81">
        <v>800</v>
      </c>
      <c r="O81">
        <v>525</v>
      </c>
      <c r="P81">
        <v>37.4</v>
      </c>
      <c r="T81" t="s">
        <v>181</v>
      </c>
    </row>
    <row r="82" spans="1:20" x14ac:dyDescent="0.25">
      <c r="A82" t="s">
        <v>154</v>
      </c>
      <c r="B82" t="s">
        <v>171</v>
      </c>
      <c r="C82" t="s">
        <v>182</v>
      </c>
      <c r="D82">
        <v>420</v>
      </c>
      <c r="E82" s="2">
        <f t="shared" si="2"/>
        <v>4200</v>
      </c>
      <c r="F82">
        <v>1150</v>
      </c>
      <c r="G82">
        <v>1050</v>
      </c>
      <c r="H82">
        <v>820</v>
      </c>
      <c r="I82">
        <v>820</v>
      </c>
      <c r="J82">
        <v>1300</v>
      </c>
      <c r="K82">
        <v>400</v>
      </c>
      <c r="L82">
        <v>900</v>
      </c>
      <c r="M82">
        <v>900</v>
      </c>
      <c r="O82">
        <v>630</v>
      </c>
      <c r="P82">
        <v>41</v>
      </c>
      <c r="T82" t="s">
        <v>183</v>
      </c>
    </row>
    <row r="83" spans="1:20" x14ac:dyDescent="0.25">
      <c r="A83" t="s">
        <v>154</v>
      </c>
      <c r="B83" t="s">
        <v>184</v>
      </c>
      <c r="C83" t="s">
        <v>185</v>
      </c>
      <c r="D83">
        <v>130</v>
      </c>
      <c r="E83" s="2">
        <f t="shared" si="2"/>
        <v>1300</v>
      </c>
      <c r="F83">
        <v>750</v>
      </c>
      <c r="G83">
        <v>700</v>
      </c>
      <c r="H83">
        <v>500</v>
      </c>
      <c r="I83">
        <v>500</v>
      </c>
      <c r="J83">
        <v>800</v>
      </c>
      <c r="K83">
        <v>250</v>
      </c>
      <c r="L83">
        <v>550</v>
      </c>
      <c r="M83">
        <v>500</v>
      </c>
      <c r="O83">
        <v>195</v>
      </c>
      <c r="P83">
        <v>22.8</v>
      </c>
      <c r="T83" t="s">
        <v>186</v>
      </c>
    </row>
    <row r="84" spans="1:20" x14ac:dyDescent="0.25">
      <c r="A84" t="s">
        <v>154</v>
      </c>
      <c r="B84" t="s">
        <v>184</v>
      </c>
      <c r="C84" t="s">
        <v>187</v>
      </c>
      <c r="D84">
        <v>180</v>
      </c>
      <c r="E84" s="2">
        <f t="shared" si="2"/>
        <v>1800</v>
      </c>
      <c r="F84">
        <v>850</v>
      </c>
      <c r="G84">
        <v>800</v>
      </c>
      <c r="H84">
        <v>580</v>
      </c>
      <c r="I84">
        <v>580</v>
      </c>
      <c r="J84">
        <v>900</v>
      </c>
      <c r="K84">
        <v>300</v>
      </c>
      <c r="L84">
        <v>600</v>
      </c>
      <c r="M84">
        <v>600</v>
      </c>
      <c r="O84">
        <v>270</v>
      </c>
      <c r="P84">
        <v>26.8</v>
      </c>
      <c r="T84" t="s">
        <v>188</v>
      </c>
    </row>
    <row r="85" spans="1:20" x14ac:dyDescent="0.25">
      <c r="A85" t="s">
        <v>154</v>
      </c>
      <c r="B85" t="s">
        <v>184</v>
      </c>
      <c r="C85" t="s">
        <v>189</v>
      </c>
      <c r="D85">
        <v>220</v>
      </c>
      <c r="E85" s="2">
        <f t="shared" si="2"/>
        <v>2200</v>
      </c>
      <c r="F85">
        <v>900</v>
      </c>
      <c r="G85">
        <v>850</v>
      </c>
      <c r="H85">
        <v>610</v>
      </c>
      <c r="I85">
        <v>610</v>
      </c>
      <c r="J85">
        <v>1000</v>
      </c>
      <c r="K85">
        <v>300</v>
      </c>
      <c r="L85">
        <v>700</v>
      </c>
      <c r="M85">
        <v>650</v>
      </c>
      <c r="O85">
        <v>330</v>
      </c>
      <c r="P85">
        <v>29.7</v>
      </c>
      <c r="T85" t="s">
        <v>190</v>
      </c>
    </row>
    <row r="86" spans="1:20" x14ac:dyDescent="0.25">
      <c r="A86" t="s">
        <v>154</v>
      </c>
      <c r="B86" t="s">
        <v>184</v>
      </c>
      <c r="C86" t="s">
        <v>191</v>
      </c>
      <c r="D86">
        <v>250</v>
      </c>
      <c r="E86" s="2">
        <f t="shared" si="2"/>
        <v>2500</v>
      </c>
      <c r="F86">
        <v>930</v>
      </c>
      <c r="G86">
        <v>880</v>
      </c>
      <c r="H86">
        <v>640</v>
      </c>
      <c r="I86">
        <v>640</v>
      </c>
      <c r="J86">
        <v>1050</v>
      </c>
      <c r="K86">
        <v>320</v>
      </c>
      <c r="L86">
        <v>720</v>
      </c>
      <c r="M86">
        <v>680</v>
      </c>
      <c r="O86">
        <v>375</v>
      </c>
      <c r="P86">
        <v>31.6</v>
      </c>
      <c r="T86" t="s">
        <v>192</v>
      </c>
    </row>
    <row r="87" spans="1:20" x14ac:dyDescent="0.25">
      <c r="A87" t="s">
        <v>154</v>
      </c>
      <c r="B87" t="s">
        <v>184</v>
      </c>
      <c r="C87" t="s">
        <v>193</v>
      </c>
      <c r="D87">
        <v>300</v>
      </c>
      <c r="E87" s="2">
        <f t="shared" si="2"/>
        <v>3000</v>
      </c>
      <c r="F87">
        <v>980</v>
      </c>
      <c r="G87">
        <v>930</v>
      </c>
      <c r="H87">
        <v>680</v>
      </c>
      <c r="I87">
        <v>680</v>
      </c>
      <c r="J87">
        <v>1100</v>
      </c>
      <c r="K87">
        <v>350</v>
      </c>
      <c r="L87">
        <v>760</v>
      </c>
      <c r="M87">
        <v>700</v>
      </c>
      <c r="O87">
        <v>450</v>
      </c>
      <c r="P87">
        <v>34.6</v>
      </c>
      <c r="T87" t="s">
        <v>194</v>
      </c>
    </row>
    <row r="88" spans="1:20" x14ac:dyDescent="0.25">
      <c r="A88" t="s">
        <v>154</v>
      </c>
      <c r="B88" t="s">
        <v>184</v>
      </c>
      <c r="C88" t="s">
        <v>195</v>
      </c>
      <c r="D88">
        <v>350</v>
      </c>
      <c r="E88" s="2">
        <f t="shared" si="2"/>
        <v>3500</v>
      </c>
      <c r="F88">
        <v>1050</v>
      </c>
      <c r="G88">
        <v>950</v>
      </c>
      <c r="H88">
        <v>710</v>
      </c>
      <c r="I88">
        <v>710</v>
      </c>
      <c r="J88">
        <v>1200</v>
      </c>
      <c r="K88">
        <v>400</v>
      </c>
      <c r="L88">
        <v>800</v>
      </c>
      <c r="M88">
        <v>800</v>
      </c>
      <c r="O88">
        <v>525</v>
      </c>
      <c r="P88">
        <v>37.4</v>
      </c>
      <c r="T88" t="s">
        <v>196</v>
      </c>
    </row>
    <row r="89" spans="1:20" x14ac:dyDescent="0.25">
      <c r="A89" t="s">
        <v>154</v>
      </c>
      <c r="B89" t="s">
        <v>184</v>
      </c>
      <c r="C89" t="s">
        <v>197</v>
      </c>
      <c r="D89">
        <v>400</v>
      </c>
      <c r="E89" s="2">
        <f t="shared" si="2"/>
        <v>4000</v>
      </c>
      <c r="F89">
        <v>1100</v>
      </c>
      <c r="G89">
        <v>1000</v>
      </c>
      <c r="H89">
        <v>750</v>
      </c>
      <c r="I89">
        <v>750</v>
      </c>
      <c r="J89">
        <v>1250</v>
      </c>
      <c r="K89">
        <v>420</v>
      </c>
      <c r="L89">
        <v>850</v>
      </c>
      <c r="M89">
        <v>850</v>
      </c>
      <c r="O89">
        <v>600</v>
      </c>
      <c r="P89">
        <v>40</v>
      </c>
      <c r="T89" t="s">
        <v>198</v>
      </c>
    </row>
    <row r="90" spans="1:20" x14ac:dyDescent="0.25">
      <c r="A90" t="s">
        <v>154</v>
      </c>
      <c r="B90" t="s">
        <v>184</v>
      </c>
      <c r="C90" t="s">
        <v>199</v>
      </c>
      <c r="D90">
        <v>500</v>
      </c>
      <c r="E90" s="2">
        <f>D90*10</f>
        <v>5000</v>
      </c>
      <c r="F90">
        <v>1200</v>
      </c>
      <c r="G90">
        <v>1100</v>
      </c>
      <c r="H90">
        <v>820</v>
      </c>
      <c r="I90">
        <v>820</v>
      </c>
      <c r="J90">
        <v>1350</v>
      </c>
      <c r="K90">
        <v>450</v>
      </c>
      <c r="L90">
        <v>950</v>
      </c>
      <c r="M90">
        <v>900</v>
      </c>
      <c r="O90">
        <v>750</v>
      </c>
      <c r="P90">
        <v>44.7</v>
      </c>
      <c r="T90" t="s">
        <v>200</v>
      </c>
    </row>
    <row r="91" spans="1:20" x14ac:dyDescent="0.25">
      <c r="A91" t="s">
        <v>154</v>
      </c>
      <c r="B91" t="s">
        <v>201</v>
      </c>
      <c r="C91" t="s">
        <v>202</v>
      </c>
      <c r="D91">
        <v>13</v>
      </c>
      <c r="E91" s="2">
        <f t="shared" ref="E91:E108" si="3">D91*10</f>
        <v>130</v>
      </c>
      <c r="F91">
        <v>350</v>
      </c>
      <c r="G91">
        <v>300</v>
      </c>
      <c r="H91">
        <v>200</v>
      </c>
      <c r="I91">
        <v>200</v>
      </c>
      <c r="J91">
        <v>400</v>
      </c>
      <c r="K91">
        <v>120</v>
      </c>
      <c r="L91">
        <v>250</v>
      </c>
      <c r="M91">
        <v>200</v>
      </c>
      <c r="O91">
        <v>19.5</v>
      </c>
      <c r="P91">
        <v>7.2</v>
      </c>
      <c r="T91" t="s">
        <v>126</v>
      </c>
    </row>
    <row r="92" spans="1:20" x14ac:dyDescent="0.25">
      <c r="A92" t="s">
        <v>154</v>
      </c>
      <c r="B92" t="s">
        <v>201</v>
      </c>
      <c r="C92" t="s">
        <v>203</v>
      </c>
      <c r="D92">
        <v>33</v>
      </c>
      <c r="E92" s="2">
        <f t="shared" si="3"/>
        <v>330</v>
      </c>
      <c r="F92">
        <v>450</v>
      </c>
      <c r="G92">
        <v>420</v>
      </c>
      <c r="H92">
        <v>280</v>
      </c>
      <c r="I92">
        <v>280</v>
      </c>
      <c r="J92">
        <v>500</v>
      </c>
      <c r="K92">
        <v>150</v>
      </c>
      <c r="L92">
        <v>300</v>
      </c>
      <c r="M92">
        <v>300</v>
      </c>
      <c r="O92">
        <v>49.5</v>
      </c>
      <c r="P92">
        <v>11.5</v>
      </c>
      <c r="T92" t="s">
        <v>204</v>
      </c>
    </row>
    <row r="93" spans="1:20" x14ac:dyDescent="0.25">
      <c r="A93" t="s">
        <v>154</v>
      </c>
      <c r="B93" t="s">
        <v>201</v>
      </c>
      <c r="C93" s="2" t="s">
        <v>205</v>
      </c>
      <c r="D93">
        <v>66</v>
      </c>
      <c r="E93" s="2">
        <f t="shared" si="3"/>
        <v>660</v>
      </c>
      <c r="F93">
        <v>550</v>
      </c>
      <c r="G93">
        <v>500</v>
      </c>
      <c r="H93">
        <v>350</v>
      </c>
      <c r="I93">
        <v>350</v>
      </c>
      <c r="J93">
        <v>600</v>
      </c>
      <c r="K93">
        <v>200</v>
      </c>
      <c r="L93">
        <v>400</v>
      </c>
      <c r="M93" s="2">
        <v>350</v>
      </c>
      <c r="O93">
        <v>99</v>
      </c>
      <c r="P93">
        <v>16.2</v>
      </c>
      <c r="T93" t="s">
        <v>206</v>
      </c>
    </row>
    <row r="94" spans="1:20" s="2" customFormat="1" x14ac:dyDescent="0.25">
      <c r="A94" s="2" t="s">
        <v>154</v>
      </c>
      <c r="B94" s="2" t="s">
        <v>201</v>
      </c>
      <c r="C94" s="2" t="s">
        <v>207</v>
      </c>
      <c r="D94" s="2">
        <v>100</v>
      </c>
      <c r="E94" s="2">
        <f t="shared" si="3"/>
        <v>1000</v>
      </c>
      <c r="F94" s="2">
        <v>650</v>
      </c>
      <c r="G94" s="2">
        <v>600</v>
      </c>
      <c r="H94" s="2">
        <v>420</v>
      </c>
      <c r="I94" s="2">
        <v>420</v>
      </c>
      <c r="J94" s="2">
        <v>700</v>
      </c>
      <c r="K94" s="2">
        <v>200</v>
      </c>
      <c r="L94" s="2">
        <v>450</v>
      </c>
      <c r="M94" s="2">
        <v>400</v>
      </c>
      <c r="O94" s="2">
        <v>150</v>
      </c>
      <c r="P94" s="2">
        <v>20</v>
      </c>
      <c r="T94" s="2" t="s">
        <v>130</v>
      </c>
    </row>
    <row r="95" spans="1:20" s="2" customFormat="1" x14ac:dyDescent="0.25">
      <c r="A95" s="2" t="s">
        <v>154</v>
      </c>
      <c r="B95" s="2" t="s">
        <v>201</v>
      </c>
      <c r="C95" s="2" t="s">
        <v>208</v>
      </c>
      <c r="D95" s="2">
        <v>150</v>
      </c>
      <c r="E95" s="2">
        <f t="shared" si="3"/>
        <v>1500</v>
      </c>
      <c r="F95" s="2">
        <v>750</v>
      </c>
      <c r="G95" s="2">
        <v>680</v>
      </c>
      <c r="H95" s="2">
        <v>500</v>
      </c>
      <c r="I95" s="2">
        <v>500</v>
      </c>
      <c r="J95" s="2">
        <v>800</v>
      </c>
      <c r="K95" s="2">
        <v>250</v>
      </c>
      <c r="L95" s="2">
        <v>550</v>
      </c>
      <c r="M95" s="2">
        <v>500</v>
      </c>
      <c r="O95" s="2">
        <v>225</v>
      </c>
      <c r="P95" s="2">
        <v>24.5</v>
      </c>
      <c r="T95" s="2" t="s">
        <v>206</v>
      </c>
    </row>
    <row r="96" spans="1:20" s="2" customFormat="1" x14ac:dyDescent="0.25">
      <c r="A96" s="2" t="s">
        <v>154</v>
      </c>
      <c r="B96" s="2" t="s">
        <v>201</v>
      </c>
      <c r="C96" s="2" t="s">
        <v>209</v>
      </c>
      <c r="D96" s="2">
        <v>200</v>
      </c>
      <c r="E96" s="2">
        <f t="shared" si="3"/>
        <v>2000</v>
      </c>
      <c r="F96" s="2">
        <v>830</v>
      </c>
      <c r="G96" s="2">
        <v>760</v>
      </c>
      <c r="H96" s="2">
        <v>560</v>
      </c>
      <c r="I96" s="2">
        <v>560</v>
      </c>
      <c r="J96" s="2">
        <v>900</v>
      </c>
      <c r="K96" s="2">
        <v>300</v>
      </c>
      <c r="L96" s="2">
        <v>600</v>
      </c>
      <c r="M96" s="2">
        <v>600</v>
      </c>
      <c r="O96" s="2">
        <v>300</v>
      </c>
      <c r="P96" s="2">
        <v>28.3</v>
      </c>
      <c r="T96" s="2" t="s">
        <v>210</v>
      </c>
    </row>
    <row r="97" spans="1:20" x14ac:dyDescent="0.25">
      <c r="A97" t="s">
        <v>211</v>
      </c>
      <c r="B97" t="s">
        <v>212</v>
      </c>
      <c r="C97" s="2" t="s">
        <v>213</v>
      </c>
      <c r="D97">
        <v>55</v>
      </c>
      <c r="E97" s="2">
        <f t="shared" si="3"/>
        <v>550</v>
      </c>
      <c r="F97">
        <v>520</v>
      </c>
      <c r="G97">
        <v>480</v>
      </c>
      <c r="H97">
        <v>320</v>
      </c>
      <c r="I97">
        <v>320</v>
      </c>
      <c r="J97">
        <v>550</v>
      </c>
      <c r="K97" s="2">
        <v>150</v>
      </c>
      <c r="L97" s="2">
        <v>350</v>
      </c>
      <c r="M97">
        <v>300</v>
      </c>
      <c r="O97">
        <v>82.5</v>
      </c>
      <c r="P97">
        <v>14.8</v>
      </c>
      <c r="T97" t="s">
        <v>214</v>
      </c>
    </row>
    <row r="98" spans="1:20" s="2" customFormat="1" x14ac:dyDescent="0.25">
      <c r="A98" s="2" t="s">
        <v>211</v>
      </c>
      <c r="B98" s="2" t="s">
        <v>212</v>
      </c>
      <c r="C98" s="2" t="s">
        <v>215</v>
      </c>
      <c r="D98" s="2">
        <v>65</v>
      </c>
      <c r="E98" s="2">
        <f t="shared" si="3"/>
        <v>650</v>
      </c>
      <c r="F98" s="2">
        <v>550</v>
      </c>
      <c r="G98" s="2">
        <v>500</v>
      </c>
      <c r="H98" s="2">
        <v>340</v>
      </c>
      <c r="I98" s="2">
        <v>340</v>
      </c>
      <c r="J98" s="2">
        <v>600</v>
      </c>
      <c r="K98" s="2">
        <v>160</v>
      </c>
      <c r="L98" s="2">
        <v>380</v>
      </c>
      <c r="M98" s="2">
        <v>320</v>
      </c>
      <c r="O98" s="2">
        <v>97.5</v>
      </c>
      <c r="P98" s="2">
        <v>16.100000000000001</v>
      </c>
      <c r="T98" s="2" t="s">
        <v>216</v>
      </c>
    </row>
    <row r="99" spans="1:20" x14ac:dyDescent="0.25">
      <c r="A99" t="s">
        <v>211</v>
      </c>
      <c r="B99" t="s">
        <v>212</v>
      </c>
      <c r="C99" s="3" t="s">
        <v>268</v>
      </c>
      <c r="D99">
        <v>85</v>
      </c>
      <c r="E99" s="2">
        <f t="shared" si="3"/>
        <v>850</v>
      </c>
      <c r="F99">
        <v>650</v>
      </c>
      <c r="G99">
        <v>621</v>
      </c>
      <c r="H99">
        <v>410</v>
      </c>
      <c r="I99">
        <v>410</v>
      </c>
      <c r="J99">
        <v>650</v>
      </c>
      <c r="K99" s="2">
        <v>200</v>
      </c>
      <c r="L99" s="2">
        <v>500</v>
      </c>
      <c r="M99" s="2">
        <v>350</v>
      </c>
      <c r="N99">
        <v>200</v>
      </c>
      <c r="O99">
        <v>19</v>
      </c>
      <c r="P99">
        <v>16</v>
      </c>
      <c r="Q99" s="2">
        <v>1174</v>
      </c>
      <c r="R99" s="2">
        <v>704</v>
      </c>
      <c r="T99" t="s">
        <v>214</v>
      </c>
    </row>
    <row r="100" spans="1:20" s="2" customFormat="1" x14ac:dyDescent="0.25">
      <c r="A100" s="2" t="s">
        <v>211</v>
      </c>
      <c r="B100" s="2" t="s">
        <v>212</v>
      </c>
      <c r="C100" s="3" t="s">
        <v>268</v>
      </c>
      <c r="D100" s="2">
        <v>85</v>
      </c>
      <c r="E100" s="2">
        <f t="shared" si="3"/>
        <v>850</v>
      </c>
      <c r="F100" s="2">
        <v>650</v>
      </c>
      <c r="G100" s="2">
        <v>621</v>
      </c>
      <c r="H100" s="2">
        <v>410</v>
      </c>
      <c r="I100" s="2">
        <v>410</v>
      </c>
      <c r="J100" s="2">
        <v>650</v>
      </c>
      <c r="K100" s="2">
        <v>200</v>
      </c>
      <c r="L100" s="2">
        <v>500</v>
      </c>
      <c r="M100" s="2">
        <v>350</v>
      </c>
      <c r="N100" s="2">
        <v>200</v>
      </c>
      <c r="O100" s="2">
        <v>24</v>
      </c>
      <c r="P100" s="2">
        <v>18</v>
      </c>
      <c r="Q100" s="2">
        <v>1174</v>
      </c>
      <c r="R100" s="2">
        <v>704</v>
      </c>
      <c r="T100" s="2" t="s">
        <v>214</v>
      </c>
    </row>
    <row r="101" spans="1:20" s="2" customFormat="1" x14ac:dyDescent="0.25">
      <c r="A101" s="2" t="s">
        <v>211</v>
      </c>
      <c r="B101" s="2" t="s">
        <v>212</v>
      </c>
      <c r="C101" s="3" t="s">
        <v>268</v>
      </c>
      <c r="D101" s="2">
        <v>85</v>
      </c>
      <c r="E101" s="2">
        <f t="shared" si="3"/>
        <v>850</v>
      </c>
      <c r="F101" s="2">
        <v>650</v>
      </c>
      <c r="G101" s="2">
        <v>621</v>
      </c>
      <c r="H101" s="2">
        <v>410</v>
      </c>
      <c r="I101" s="2">
        <v>410</v>
      </c>
      <c r="J101" s="2">
        <v>650</v>
      </c>
      <c r="K101" s="2">
        <v>200</v>
      </c>
      <c r="L101" s="2">
        <v>500</v>
      </c>
      <c r="M101" s="2">
        <v>350</v>
      </c>
      <c r="N101" s="2">
        <v>200</v>
      </c>
      <c r="O101" s="2">
        <v>30</v>
      </c>
      <c r="P101" s="2">
        <v>20</v>
      </c>
      <c r="Q101" s="2">
        <v>1174</v>
      </c>
      <c r="R101" s="2">
        <v>704</v>
      </c>
      <c r="T101" s="2" t="s">
        <v>214</v>
      </c>
    </row>
    <row r="102" spans="1:20" x14ac:dyDescent="0.25">
      <c r="A102" t="s">
        <v>211</v>
      </c>
      <c r="B102" t="s">
        <v>212</v>
      </c>
      <c r="C102" s="3" t="s">
        <v>268</v>
      </c>
      <c r="D102">
        <v>85</v>
      </c>
      <c r="E102" s="2">
        <f t="shared" si="3"/>
        <v>850</v>
      </c>
      <c r="F102">
        <v>650</v>
      </c>
      <c r="G102">
        <v>621</v>
      </c>
      <c r="H102">
        <v>410</v>
      </c>
      <c r="I102" s="2">
        <v>410</v>
      </c>
      <c r="J102">
        <v>650</v>
      </c>
      <c r="K102">
        <v>200</v>
      </c>
      <c r="L102">
        <v>500</v>
      </c>
      <c r="M102">
        <v>350</v>
      </c>
      <c r="N102">
        <v>200</v>
      </c>
      <c r="O102">
        <v>47</v>
      </c>
      <c r="P102">
        <v>25</v>
      </c>
      <c r="Q102" s="2">
        <v>1174</v>
      </c>
      <c r="R102" s="2">
        <v>704</v>
      </c>
      <c r="T102" t="s">
        <v>214</v>
      </c>
    </row>
    <row r="103" spans="1:20" s="2" customFormat="1" x14ac:dyDescent="0.25">
      <c r="A103" s="2" t="s">
        <v>211</v>
      </c>
      <c r="B103" s="2" t="s">
        <v>212</v>
      </c>
      <c r="C103" s="4" t="s">
        <v>269</v>
      </c>
      <c r="D103" s="2">
        <v>85</v>
      </c>
      <c r="E103" s="2">
        <f t="shared" si="3"/>
        <v>850</v>
      </c>
      <c r="F103" s="2">
        <v>650</v>
      </c>
      <c r="G103" s="2">
        <v>621</v>
      </c>
      <c r="H103" s="2">
        <v>410</v>
      </c>
      <c r="I103" s="2">
        <v>410</v>
      </c>
      <c r="J103" s="2">
        <v>650</v>
      </c>
      <c r="K103" s="2">
        <v>400</v>
      </c>
      <c r="L103" s="2">
        <v>700</v>
      </c>
      <c r="M103" s="2">
        <v>350</v>
      </c>
      <c r="N103" s="2">
        <v>200</v>
      </c>
      <c r="O103" s="2">
        <v>77</v>
      </c>
      <c r="P103" s="2">
        <v>18</v>
      </c>
      <c r="Q103" s="2">
        <v>1174</v>
      </c>
      <c r="R103" s="2">
        <v>704</v>
      </c>
      <c r="T103" s="2" t="s">
        <v>214</v>
      </c>
    </row>
    <row r="104" spans="1:20" x14ac:dyDescent="0.25">
      <c r="A104" t="s">
        <v>211</v>
      </c>
      <c r="B104" t="s">
        <v>212</v>
      </c>
      <c r="C104" s="4" t="s">
        <v>269</v>
      </c>
      <c r="D104">
        <v>85</v>
      </c>
      <c r="E104" s="2">
        <f t="shared" si="3"/>
        <v>850</v>
      </c>
      <c r="F104">
        <v>650</v>
      </c>
      <c r="G104">
        <v>621</v>
      </c>
      <c r="H104">
        <v>410</v>
      </c>
      <c r="I104">
        <v>410</v>
      </c>
      <c r="J104">
        <v>650</v>
      </c>
      <c r="K104">
        <v>400</v>
      </c>
      <c r="L104">
        <v>700</v>
      </c>
      <c r="M104">
        <v>350</v>
      </c>
      <c r="N104">
        <v>200</v>
      </c>
      <c r="O104" s="2">
        <v>77</v>
      </c>
      <c r="P104">
        <v>18</v>
      </c>
      <c r="Q104" s="2">
        <v>1174</v>
      </c>
      <c r="R104" s="2">
        <v>704</v>
      </c>
      <c r="T104" t="s">
        <v>214</v>
      </c>
    </row>
    <row r="105" spans="1:20" s="2" customFormat="1" x14ac:dyDescent="0.25">
      <c r="A105" s="2" t="s">
        <v>211</v>
      </c>
      <c r="B105" s="2" t="s">
        <v>212</v>
      </c>
      <c r="C105" s="3" t="s">
        <v>270</v>
      </c>
      <c r="D105" s="2">
        <v>85</v>
      </c>
      <c r="E105" s="2">
        <f t="shared" si="3"/>
        <v>850</v>
      </c>
      <c r="F105" s="2">
        <v>650</v>
      </c>
      <c r="G105" s="2">
        <v>621</v>
      </c>
      <c r="H105" s="2">
        <v>410</v>
      </c>
      <c r="I105" s="2">
        <v>410</v>
      </c>
      <c r="J105" s="2">
        <v>650</v>
      </c>
      <c r="K105" s="2">
        <v>400</v>
      </c>
      <c r="L105" s="2">
        <v>700</v>
      </c>
      <c r="M105" s="2">
        <v>350</v>
      </c>
      <c r="N105" s="2">
        <v>200</v>
      </c>
      <c r="O105" s="2">
        <v>85</v>
      </c>
      <c r="P105" s="2">
        <v>33</v>
      </c>
      <c r="Q105" s="2">
        <v>1174</v>
      </c>
      <c r="R105" s="2">
        <v>704</v>
      </c>
      <c r="T105" s="2" t="s">
        <v>214</v>
      </c>
    </row>
    <row r="106" spans="1:20" s="2" customFormat="1" x14ac:dyDescent="0.25">
      <c r="A106" s="2" t="s">
        <v>211</v>
      </c>
      <c r="B106" s="2" t="s">
        <v>212</v>
      </c>
      <c r="C106" s="3" t="s">
        <v>270</v>
      </c>
      <c r="D106" s="2">
        <v>85</v>
      </c>
      <c r="E106" s="2">
        <f t="shared" si="3"/>
        <v>850</v>
      </c>
      <c r="F106" s="2">
        <v>650</v>
      </c>
      <c r="G106" s="2">
        <v>621</v>
      </c>
      <c r="H106" s="2">
        <v>410</v>
      </c>
      <c r="I106" s="2">
        <v>410</v>
      </c>
      <c r="J106" s="2">
        <v>650</v>
      </c>
      <c r="K106" s="2">
        <v>400</v>
      </c>
      <c r="L106" s="2">
        <v>700</v>
      </c>
      <c r="M106" s="2">
        <v>350</v>
      </c>
      <c r="N106" s="2">
        <v>200</v>
      </c>
      <c r="O106" s="2">
        <v>113</v>
      </c>
      <c r="P106" s="2">
        <v>36</v>
      </c>
      <c r="Q106" s="2">
        <v>1174</v>
      </c>
      <c r="R106" s="2">
        <v>704</v>
      </c>
      <c r="T106" s="2" t="s">
        <v>214</v>
      </c>
    </row>
    <row r="107" spans="1:20" x14ac:dyDescent="0.25">
      <c r="A107" t="s">
        <v>211</v>
      </c>
      <c r="B107" t="s">
        <v>212</v>
      </c>
      <c r="C107" s="3" t="s">
        <v>270</v>
      </c>
      <c r="D107">
        <v>85</v>
      </c>
      <c r="E107" s="2">
        <f t="shared" si="3"/>
        <v>850</v>
      </c>
      <c r="F107">
        <v>650</v>
      </c>
      <c r="G107">
        <v>621</v>
      </c>
      <c r="H107">
        <v>410</v>
      </c>
      <c r="I107">
        <v>410</v>
      </c>
      <c r="J107">
        <v>650</v>
      </c>
      <c r="K107">
        <v>400</v>
      </c>
      <c r="L107">
        <v>700</v>
      </c>
      <c r="M107">
        <v>350</v>
      </c>
      <c r="N107">
        <v>200</v>
      </c>
      <c r="O107" s="2">
        <v>154</v>
      </c>
      <c r="P107">
        <v>40</v>
      </c>
      <c r="Q107" s="2">
        <v>1174</v>
      </c>
      <c r="R107" s="2">
        <v>704</v>
      </c>
      <c r="T107" t="s">
        <v>214</v>
      </c>
    </row>
    <row r="108" spans="1:20" s="2" customFormat="1" x14ac:dyDescent="0.25">
      <c r="A108" s="2" t="s">
        <v>211</v>
      </c>
      <c r="B108" s="2" t="s">
        <v>212</v>
      </c>
      <c r="C108" s="4" t="s">
        <v>287</v>
      </c>
      <c r="D108" s="2">
        <v>130</v>
      </c>
      <c r="E108" s="2">
        <f t="shared" si="3"/>
        <v>1300</v>
      </c>
      <c r="F108" s="2">
        <v>750</v>
      </c>
      <c r="G108" s="2">
        <v>700</v>
      </c>
      <c r="H108" s="2">
        <v>510</v>
      </c>
      <c r="I108" s="2">
        <v>510</v>
      </c>
      <c r="J108" s="2">
        <v>800</v>
      </c>
      <c r="K108" s="2">
        <v>250</v>
      </c>
      <c r="L108" s="2">
        <v>550</v>
      </c>
      <c r="M108" s="2">
        <v>500</v>
      </c>
      <c r="O108" s="2">
        <v>154</v>
      </c>
      <c r="P108" s="2">
        <v>22.8</v>
      </c>
      <c r="T108" s="2" t="s">
        <v>186</v>
      </c>
    </row>
    <row r="109" spans="1:20" s="2" customFormat="1" x14ac:dyDescent="0.25">
      <c r="A109" s="2" t="s">
        <v>211</v>
      </c>
      <c r="B109" s="2" t="s">
        <v>212</v>
      </c>
      <c r="C109" s="4" t="s">
        <v>288</v>
      </c>
      <c r="D109" s="2">
        <v>130</v>
      </c>
      <c r="E109" s="2">
        <f>D109*10</f>
        <v>1300</v>
      </c>
      <c r="F109" s="2">
        <v>750</v>
      </c>
      <c r="G109" s="2">
        <v>700</v>
      </c>
      <c r="H109" s="2">
        <v>510</v>
      </c>
      <c r="I109" s="2">
        <v>510</v>
      </c>
      <c r="J109" s="2">
        <v>800</v>
      </c>
      <c r="K109" s="2">
        <v>250</v>
      </c>
      <c r="L109" s="2">
        <v>550</v>
      </c>
      <c r="M109" s="2">
        <v>500</v>
      </c>
      <c r="O109" s="2">
        <v>301</v>
      </c>
      <c r="P109" s="2">
        <v>22.8</v>
      </c>
      <c r="T109" s="2" t="s">
        <v>186</v>
      </c>
    </row>
    <row r="110" spans="1:20" x14ac:dyDescent="0.25">
      <c r="A110" t="s">
        <v>211</v>
      </c>
      <c r="B110" t="s">
        <v>212</v>
      </c>
      <c r="C110" s="4" t="s">
        <v>289</v>
      </c>
      <c r="D110">
        <v>190</v>
      </c>
      <c r="E110" s="2">
        <f t="shared" ref="E110:E127" si="4">D110*10</f>
        <v>1900</v>
      </c>
      <c r="F110">
        <v>820</v>
      </c>
      <c r="G110">
        <v>760</v>
      </c>
      <c r="H110">
        <v>560</v>
      </c>
      <c r="I110">
        <v>560</v>
      </c>
      <c r="J110">
        <v>900</v>
      </c>
      <c r="K110">
        <v>300</v>
      </c>
      <c r="L110">
        <v>600</v>
      </c>
      <c r="M110">
        <v>600</v>
      </c>
      <c r="O110" s="2">
        <v>154</v>
      </c>
      <c r="P110">
        <v>27.6</v>
      </c>
      <c r="T110" t="s">
        <v>188</v>
      </c>
    </row>
    <row r="111" spans="1:20" s="2" customFormat="1" x14ac:dyDescent="0.25">
      <c r="A111" s="2" t="s">
        <v>211</v>
      </c>
      <c r="B111" s="2" t="s">
        <v>212</v>
      </c>
      <c r="C111" s="4" t="s">
        <v>290</v>
      </c>
      <c r="D111" s="2">
        <v>190</v>
      </c>
      <c r="E111" s="2">
        <f t="shared" si="4"/>
        <v>1900</v>
      </c>
      <c r="F111" s="2">
        <v>820</v>
      </c>
      <c r="G111" s="2">
        <v>760</v>
      </c>
      <c r="H111" s="2">
        <v>560</v>
      </c>
      <c r="I111" s="2">
        <v>560</v>
      </c>
      <c r="J111" s="2">
        <v>900</v>
      </c>
      <c r="K111" s="2">
        <v>300</v>
      </c>
      <c r="L111" s="2">
        <v>600</v>
      </c>
      <c r="M111" s="2">
        <v>600</v>
      </c>
      <c r="O111" s="2">
        <v>301</v>
      </c>
      <c r="P111" s="2">
        <v>27.6</v>
      </c>
      <c r="T111" s="2" t="s">
        <v>188</v>
      </c>
    </row>
    <row r="112" spans="1:20" x14ac:dyDescent="0.25">
      <c r="A112" t="s">
        <v>211</v>
      </c>
      <c r="B112" t="s">
        <v>212</v>
      </c>
      <c r="C112" s="4" t="s">
        <v>291</v>
      </c>
      <c r="D112">
        <v>190</v>
      </c>
      <c r="E112" s="2">
        <f t="shared" si="4"/>
        <v>1900</v>
      </c>
      <c r="F112">
        <v>820</v>
      </c>
      <c r="G112">
        <v>760</v>
      </c>
      <c r="H112">
        <v>560</v>
      </c>
      <c r="I112">
        <v>560</v>
      </c>
      <c r="J112">
        <v>900</v>
      </c>
      <c r="K112">
        <v>300</v>
      </c>
      <c r="L112">
        <v>600</v>
      </c>
      <c r="M112">
        <v>600</v>
      </c>
      <c r="O112">
        <v>579</v>
      </c>
      <c r="P112">
        <v>27.6</v>
      </c>
      <c r="T112" t="s">
        <v>188</v>
      </c>
    </row>
    <row r="113" spans="1:20" x14ac:dyDescent="0.25">
      <c r="A113" t="s">
        <v>211</v>
      </c>
      <c r="B113" t="s">
        <v>212</v>
      </c>
      <c r="C113" s="4" t="s">
        <v>292</v>
      </c>
      <c r="D113">
        <v>240</v>
      </c>
      <c r="E113" s="2">
        <f t="shared" si="4"/>
        <v>2400</v>
      </c>
      <c r="F113">
        <v>900</v>
      </c>
      <c r="G113">
        <v>830</v>
      </c>
      <c r="H113">
        <v>670</v>
      </c>
      <c r="I113">
        <v>620</v>
      </c>
      <c r="J113">
        <v>1000</v>
      </c>
      <c r="K113">
        <v>300</v>
      </c>
      <c r="L113">
        <v>700</v>
      </c>
      <c r="M113">
        <v>700</v>
      </c>
      <c r="O113">
        <v>154</v>
      </c>
      <c r="P113">
        <v>31</v>
      </c>
      <c r="T113" t="s">
        <v>190</v>
      </c>
    </row>
    <row r="114" spans="1:20" x14ac:dyDescent="0.25">
      <c r="A114" t="s">
        <v>211</v>
      </c>
      <c r="B114" t="s">
        <v>212</v>
      </c>
      <c r="C114" s="4" t="s">
        <v>293</v>
      </c>
      <c r="D114">
        <v>240</v>
      </c>
      <c r="E114" s="2">
        <f t="shared" si="4"/>
        <v>2400</v>
      </c>
      <c r="F114">
        <v>900</v>
      </c>
      <c r="G114">
        <v>830</v>
      </c>
      <c r="H114">
        <v>670</v>
      </c>
      <c r="I114">
        <v>620</v>
      </c>
      <c r="J114">
        <v>1000</v>
      </c>
      <c r="K114">
        <v>300</v>
      </c>
      <c r="L114">
        <v>700</v>
      </c>
      <c r="M114">
        <v>700</v>
      </c>
      <c r="O114">
        <v>301</v>
      </c>
      <c r="P114">
        <v>31</v>
      </c>
      <c r="T114" t="s">
        <v>190</v>
      </c>
    </row>
    <row r="115" spans="1:20" x14ac:dyDescent="0.25">
      <c r="A115" t="s">
        <v>211</v>
      </c>
      <c r="B115" t="s">
        <v>212</v>
      </c>
      <c r="C115" s="4" t="s">
        <v>294</v>
      </c>
      <c r="D115">
        <v>240</v>
      </c>
      <c r="E115" s="2">
        <f t="shared" si="4"/>
        <v>2400</v>
      </c>
      <c r="F115">
        <v>900</v>
      </c>
      <c r="G115">
        <v>830</v>
      </c>
      <c r="H115">
        <v>670</v>
      </c>
      <c r="I115">
        <v>620</v>
      </c>
      <c r="J115">
        <v>1000</v>
      </c>
      <c r="K115">
        <v>300</v>
      </c>
      <c r="L115">
        <v>700</v>
      </c>
      <c r="M115">
        <v>700</v>
      </c>
      <c r="O115">
        <v>579</v>
      </c>
      <c r="P115">
        <v>31</v>
      </c>
      <c r="T115" t="s">
        <v>190</v>
      </c>
    </row>
    <row r="116" spans="1:20" x14ac:dyDescent="0.25">
      <c r="A116" t="s">
        <v>211</v>
      </c>
      <c r="B116" t="s">
        <v>212</v>
      </c>
      <c r="C116" s="4" t="s">
        <v>295</v>
      </c>
      <c r="D116">
        <v>310</v>
      </c>
      <c r="E116" s="2">
        <f t="shared" si="4"/>
        <v>3100</v>
      </c>
      <c r="F116">
        <v>950</v>
      </c>
      <c r="G116">
        <v>880</v>
      </c>
      <c r="H116">
        <v>720</v>
      </c>
      <c r="I116">
        <v>670</v>
      </c>
      <c r="J116">
        <v>1100</v>
      </c>
      <c r="K116">
        <v>350</v>
      </c>
      <c r="L116">
        <v>750</v>
      </c>
      <c r="M116">
        <v>750</v>
      </c>
      <c r="O116">
        <v>301</v>
      </c>
      <c r="P116">
        <v>35.200000000000003</v>
      </c>
      <c r="T116" t="s">
        <v>194</v>
      </c>
    </row>
    <row r="117" spans="1:20" x14ac:dyDescent="0.25">
      <c r="A117" t="s">
        <v>211</v>
      </c>
      <c r="B117" t="s">
        <v>212</v>
      </c>
      <c r="C117" s="4" t="s">
        <v>296</v>
      </c>
      <c r="D117">
        <v>310</v>
      </c>
      <c r="E117" s="2">
        <f t="shared" si="4"/>
        <v>3100</v>
      </c>
      <c r="F117">
        <v>950</v>
      </c>
      <c r="G117">
        <v>880</v>
      </c>
      <c r="H117">
        <v>720</v>
      </c>
      <c r="I117">
        <v>670</v>
      </c>
      <c r="J117">
        <v>1100</v>
      </c>
      <c r="K117">
        <v>350</v>
      </c>
      <c r="L117">
        <v>750</v>
      </c>
      <c r="M117">
        <v>750</v>
      </c>
      <c r="O117">
        <v>579</v>
      </c>
      <c r="P117">
        <v>35.200000000000003</v>
      </c>
      <c r="T117" t="s">
        <v>194</v>
      </c>
    </row>
    <row r="118" spans="1:20" x14ac:dyDescent="0.25">
      <c r="A118" t="s">
        <v>211</v>
      </c>
      <c r="B118" t="s">
        <v>212</v>
      </c>
      <c r="C118" t="s">
        <v>217</v>
      </c>
      <c r="D118">
        <v>350</v>
      </c>
      <c r="E118" s="2">
        <f t="shared" si="4"/>
        <v>3500</v>
      </c>
      <c r="F118">
        <v>1050</v>
      </c>
      <c r="G118">
        <v>950</v>
      </c>
      <c r="H118">
        <v>710</v>
      </c>
      <c r="I118">
        <v>710</v>
      </c>
      <c r="J118">
        <v>1200</v>
      </c>
      <c r="K118">
        <v>400</v>
      </c>
      <c r="L118">
        <v>800</v>
      </c>
      <c r="M118">
        <v>800</v>
      </c>
      <c r="O118">
        <v>525</v>
      </c>
      <c r="P118">
        <v>37.4</v>
      </c>
      <c r="T118" t="s">
        <v>133</v>
      </c>
    </row>
    <row r="119" spans="1:20" x14ac:dyDescent="0.25">
      <c r="A119" t="s">
        <v>211</v>
      </c>
      <c r="B119" t="s">
        <v>212</v>
      </c>
      <c r="C119" t="s">
        <v>218</v>
      </c>
      <c r="D119">
        <v>460</v>
      </c>
      <c r="E119" s="2">
        <f t="shared" si="4"/>
        <v>4600</v>
      </c>
      <c r="F119">
        <v>1150</v>
      </c>
      <c r="G119">
        <v>1050</v>
      </c>
      <c r="H119">
        <v>820</v>
      </c>
      <c r="I119">
        <v>820</v>
      </c>
      <c r="J119">
        <v>1300</v>
      </c>
      <c r="K119">
        <v>400</v>
      </c>
      <c r="L119">
        <v>900</v>
      </c>
      <c r="M119">
        <v>900</v>
      </c>
      <c r="O119">
        <v>690</v>
      </c>
      <c r="P119">
        <v>42.9</v>
      </c>
      <c r="T119" t="s">
        <v>72</v>
      </c>
    </row>
    <row r="120" spans="1:20" x14ac:dyDescent="0.25">
      <c r="A120" t="s">
        <v>211</v>
      </c>
      <c r="B120" t="s">
        <v>212</v>
      </c>
      <c r="C120" t="s">
        <v>219</v>
      </c>
      <c r="D120">
        <v>550</v>
      </c>
      <c r="E120" s="2">
        <f t="shared" si="4"/>
        <v>5500</v>
      </c>
      <c r="F120">
        <v>1250</v>
      </c>
      <c r="G120">
        <v>1150</v>
      </c>
      <c r="H120">
        <v>920</v>
      </c>
      <c r="I120">
        <v>920</v>
      </c>
      <c r="J120">
        <v>1400</v>
      </c>
      <c r="K120">
        <v>450</v>
      </c>
      <c r="L120">
        <v>1000</v>
      </c>
      <c r="M120">
        <v>1000</v>
      </c>
      <c r="O120">
        <v>825</v>
      </c>
      <c r="P120">
        <v>46.9</v>
      </c>
      <c r="T120" t="s">
        <v>74</v>
      </c>
    </row>
    <row r="121" spans="1:20" x14ac:dyDescent="0.25">
      <c r="A121" t="s">
        <v>211</v>
      </c>
      <c r="B121" t="s">
        <v>220</v>
      </c>
      <c r="C121" t="s">
        <v>221</v>
      </c>
      <c r="D121">
        <v>130</v>
      </c>
      <c r="E121" s="2">
        <f t="shared" si="4"/>
        <v>1300</v>
      </c>
      <c r="F121">
        <v>750</v>
      </c>
      <c r="G121">
        <v>700</v>
      </c>
      <c r="H121">
        <v>500</v>
      </c>
      <c r="I121">
        <v>500</v>
      </c>
      <c r="J121">
        <v>800</v>
      </c>
      <c r="K121">
        <v>250</v>
      </c>
      <c r="L121">
        <v>550</v>
      </c>
      <c r="M121">
        <v>500</v>
      </c>
      <c r="O121">
        <v>195</v>
      </c>
      <c r="P121">
        <v>22.8</v>
      </c>
      <c r="T121" t="s">
        <v>222</v>
      </c>
    </row>
    <row r="122" spans="1:20" x14ac:dyDescent="0.25">
      <c r="A122" t="s">
        <v>211</v>
      </c>
      <c r="B122" t="s">
        <v>220</v>
      </c>
      <c r="C122" t="s">
        <v>223</v>
      </c>
      <c r="D122">
        <v>190</v>
      </c>
      <c r="E122" s="2">
        <f t="shared" si="4"/>
        <v>1900</v>
      </c>
      <c r="F122">
        <v>820</v>
      </c>
      <c r="G122">
        <v>760</v>
      </c>
      <c r="H122">
        <v>560</v>
      </c>
      <c r="I122">
        <v>560</v>
      </c>
      <c r="J122">
        <v>900</v>
      </c>
      <c r="K122">
        <v>300</v>
      </c>
      <c r="L122">
        <v>600</v>
      </c>
      <c r="M122">
        <v>600</v>
      </c>
      <c r="O122">
        <v>285</v>
      </c>
      <c r="P122">
        <v>27.6</v>
      </c>
      <c r="T122" t="s">
        <v>224</v>
      </c>
    </row>
    <row r="123" spans="1:20" x14ac:dyDescent="0.25">
      <c r="A123" t="s">
        <v>211</v>
      </c>
      <c r="B123" t="s">
        <v>220</v>
      </c>
      <c r="C123" t="s">
        <v>225</v>
      </c>
      <c r="D123">
        <v>240</v>
      </c>
      <c r="E123" s="2">
        <f t="shared" si="4"/>
        <v>2400</v>
      </c>
      <c r="F123">
        <v>900</v>
      </c>
      <c r="G123">
        <v>830</v>
      </c>
      <c r="H123">
        <v>610</v>
      </c>
      <c r="I123">
        <v>610</v>
      </c>
      <c r="J123">
        <v>1000</v>
      </c>
      <c r="K123">
        <v>300</v>
      </c>
      <c r="L123">
        <v>700</v>
      </c>
      <c r="M123">
        <v>700</v>
      </c>
      <c r="O123">
        <v>360</v>
      </c>
      <c r="P123">
        <v>31</v>
      </c>
      <c r="T123" t="s">
        <v>226</v>
      </c>
    </row>
    <row r="124" spans="1:20" x14ac:dyDescent="0.25">
      <c r="A124" t="s">
        <v>211</v>
      </c>
      <c r="B124" t="s">
        <v>220</v>
      </c>
      <c r="C124" t="s">
        <v>227</v>
      </c>
      <c r="D124">
        <v>310</v>
      </c>
      <c r="E124" s="2">
        <f t="shared" si="4"/>
        <v>3100</v>
      </c>
      <c r="F124">
        <v>950</v>
      </c>
      <c r="G124">
        <v>880</v>
      </c>
      <c r="H124">
        <v>660</v>
      </c>
      <c r="I124">
        <v>660</v>
      </c>
      <c r="J124">
        <v>1100</v>
      </c>
      <c r="K124">
        <v>350</v>
      </c>
      <c r="L124">
        <v>750</v>
      </c>
      <c r="M124">
        <v>750</v>
      </c>
      <c r="O124">
        <v>465</v>
      </c>
      <c r="P124">
        <v>35.200000000000003</v>
      </c>
      <c r="T124" t="s">
        <v>228</v>
      </c>
    </row>
    <row r="125" spans="1:20" x14ac:dyDescent="0.25">
      <c r="A125" t="s">
        <v>211</v>
      </c>
      <c r="B125" t="s">
        <v>220</v>
      </c>
      <c r="C125" t="s">
        <v>229</v>
      </c>
      <c r="D125">
        <v>350</v>
      </c>
      <c r="E125" s="2">
        <f t="shared" si="4"/>
        <v>3500</v>
      </c>
      <c r="F125">
        <v>1050</v>
      </c>
      <c r="G125">
        <v>950</v>
      </c>
      <c r="H125">
        <v>710</v>
      </c>
      <c r="I125">
        <v>710</v>
      </c>
      <c r="J125">
        <v>1200</v>
      </c>
      <c r="K125">
        <v>400</v>
      </c>
      <c r="L125">
        <v>800</v>
      </c>
      <c r="M125">
        <v>800</v>
      </c>
      <c r="O125">
        <v>525</v>
      </c>
      <c r="P125">
        <v>37.4</v>
      </c>
      <c r="T125" t="s">
        <v>230</v>
      </c>
    </row>
    <row r="126" spans="1:20" x14ac:dyDescent="0.25">
      <c r="A126" t="s">
        <v>211</v>
      </c>
      <c r="B126" t="s">
        <v>220</v>
      </c>
      <c r="C126" t="s">
        <v>231</v>
      </c>
      <c r="D126">
        <v>460</v>
      </c>
      <c r="E126" s="2">
        <f t="shared" si="4"/>
        <v>4600</v>
      </c>
      <c r="F126">
        <v>1150</v>
      </c>
      <c r="G126">
        <v>1050</v>
      </c>
      <c r="H126">
        <v>820</v>
      </c>
      <c r="I126">
        <v>820</v>
      </c>
      <c r="J126">
        <v>1300</v>
      </c>
      <c r="K126">
        <v>400</v>
      </c>
      <c r="L126">
        <v>900</v>
      </c>
      <c r="M126">
        <v>900</v>
      </c>
      <c r="O126">
        <v>690</v>
      </c>
      <c r="P126">
        <v>42.9</v>
      </c>
      <c r="T126" t="s">
        <v>228</v>
      </c>
    </row>
    <row r="127" spans="1:20" x14ac:dyDescent="0.25">
      <c r="A127" t="s">
        <v>211</v>
      </c>
      <c r="B127" t="s">
        <v>220</v>
      </c>
      <c r="C127" t="s">
        <v>232</v>
      </c>
      <c r="D127">
        <v>550</v>
      </c>
      <c r="E127" s="2">
        <f t="shared" si="4"/>
        <v>5500</v>
      </c>
      <c r="F127">
        <v>1250</v>
      </c>
      <c r="G127">
        <v>1150</v>
      </c>
      <c r="H127">
        <v>920</v>
      </c>
      <c r="I127">
        <v>920</v>
      </c>
      <c r="J127">
        <v>1400</v>
      </c>
      <c r="K127">
        <v>450</v>
      </c>
      <c r="L127">
        <v>1000</v>
      </c>
      <c r="M127">
        <v>1000</v>
      </c>
      <c r="O127">
        <v>825</v>
      </c>
      <c r="P127">
        <v>46.9</v>
      </c>
      <c r="T127" t="s">
        <v>87</v>
      </c>
    </row>
    <row r="128" spans="1:20" x14ac:dyDescent="0.25">
      <c r="A128" t="s">
        <v>211</v>
      </c>
      <c r="B128" t="s">
        <v>233</v>
      </c>
      <c r="C128" t="s">
        <v>234</v>
      </c>
      <c r="D128">
        <v>220</v>
      </c>
      <c r="E128" s="2">
        <f>D128*10</f>
        <v>2200</v>
      </c>
      <c r="F128">
        <v>880</v>
      </c>
      <c r="G128">
        <v>810</v>
      </c>
      <c r="H128">
        <v>610</v>
      </c>
      <c r="I128">
        <v>610</v>
      </c>
      <c r="J128">
        <v>1000</v>
      </c>
      <c r="K128">
        <v>300</v>
      </c>
      <c r="L128">
        <v>700</v>
      </c>
      <c r="M128">
        <v>700</v>
      </c>
      <c r="O128">
        <v>330</v>
      </c>
      <c r="P128">
        <v>29.7</v>
      </c>
      <c r="T128" t="s">
        <v>235</v>
      </c>
    </row>
    <row r="129" spans="1:20" x14ac:dyDescent="0.25">
      <c r="A129" t="s">
        <v>211</v>
      </c>
      <c r="B129" t="s">
        <v>233</v>
      </c>
      <c r="C129" t="s">
        <v>236</v>
      </c>
      <c r="D129">
        <v>350</v>
      </c>
      <c r="E129" s="2">
        <f t="shared" ref="E129:E145" si="5">D129*10</f>
        <v>3500</v>
      </c>
      <c r="F129">
        <v>1050</v>
      </c>
      <c r="G129">
        <v>950</v>
      </c>
      <c r="H129">
        <v>710</v>
      </c>
      <c r="I129">
        <v>710</v>
      </c>
      <c r="J129">
        <v>1200</v>
      </c>
      <c r="K129">
        <v>400</v>
      </c>
      <c r="L129">
        <v>800</v>
      </c>
      <c r="M129">
        <v>800</v>
      </c>
      <c r="O129">
        <v>525</v>
      </c>
      <c r="P129">
        <v>37.4</v>
      </c>
      <c r="T129" t="s">
        <v>237</v>
      </c>
    </row>
    <row r="130" spans="1:20" x14ac:dyDescent="0.25">
      <c r="A130" t="s">
        <v>211</v>
      </c>
      <c r="B130" t="s">
        <v>233</v>
      </c>
      <c r="C130" t="s">
        <v>238</v>
      </c>
      <c r="D130">
        <v>450</v>
      </c>
      <c r="E130" s="2">
        <f t="shared" si="5"/>
        <v>4500</v>
      </c>
      <c r="F130">
        <v>1150</v>
      </c>
      <c r="G130">
        <v>1050</v>
      </c>
      <c r="H130">
        <v>820</v>
      </c>
      <c r="I130">
        <v>820</v>
      </c>
      <c r="J130">
        <v>1300</v>
      </c>
      <c r="K130">
        <v>400</v>
      </c>
      <c r="L130">
        <v>900</v>
      </c>
      <c r="M130">
        <v>900</v>
      </c>
      <c r="O130">
        <v>675</v>
      </c>
      <c r="P130">
        <v>42.4</v>
      </c>
      <c r="T130" t="s">
        <v>239</v>
      </c>
    </row>
    <row r="131" spans="1:20" x14ac:dyDescent="0.25">
      <c r="A131" t="s">
        <v>211</v>
      </c>
      <c r="B131" t="s">
        <v>233</v>
      </c>
      <c r="C131" t="s">
        <v>240</v>
      </c>
      <c r="D131">
        <v>550</v>
      </c>
      <c r="E131" s="2">
        <f t="shared" si="5"/>
        <v>5500</v>
      </c>
      <c r="F131">
        <v>1250</v>
      </c>
      <c r="G131">
        <v>1150</v>
      </c>
      <c r="H131">
        <v>920</v>
      </c>
      <c r="I131">
        <v>920</v>
      </c>
      <c r="J131">
        <v>1400</v>
      </c>
      <c r="K131">
        <v>450</v>
      </c>
      <c r="L131">
        <v>1000</v>
      </c>
      <c r="M131">
        <v>1000</v>
      </c>
      <c r="O131">
        <v>825</v>
      </c>
      <c r="P131">
        <v>46.9</v>
      </c>
      <c r="T131" t="s">
        <v>241</v>
      </c>
    </row>
    <row r="132" spans="1:20" x14ac:dyDescent="0.25">
      <c r="A132" t="s">
        <v>211</v>
      </c>
      <c r="B132" t="s">
        <v>242</v>
      </c>
      <c r="C132" t="s">
        <v>243</v>
      </c>
      <c r="D132">
        <v>240</v>
      </c>
      <c r="E132" s="2">
        <f t="shared" si="5"/>
        <v>2400</v>
      </c>
      <c r="F132">
        <v>900</v>
      </c>
      <c r="G132">
        <v>830</v>
      </c>
      <c r="H132">
        <v>610</v>
      </c>
      <c r="I132">
        <v>610</v>
      </c>
      <c r="J132">
        <v>1000</v>
      </c>
      <c r="K132">
        <v>300</v>
      </c>
      <c r="L132">
        <v>700</v>
      </c>
      <c r="M132">
        <v>700</v>
      </c>
      <c r="O132">
        <v>360</v>
      </c>
      <c r="P132">
        <v>31</v>
      </c>
      <c r="T132" t="s">
        <v>119</v>
      </c>
    </row>
    <row r="133" spans="1:20" x14ac:dyDescent="0.25">
      <c r="A133" t="s">
        <v>211</v>
      </c>
      <c r="B133" t="s">
        <v>242</v>
      </c>
      <c r="C133" t="s">
        <v>244</v>
      </c>
      <c r="D133">
        <v>350</v>
      </c>
      <c r="E133" s="2">
        <f t="shared" si="5"/>
        <v>3500</v>
      </c>
      <c r="F133">
        <v>1050</v>
      </c>
      <c r="G133">
        <v>950</v>
      </c>
      <c r="H133">
        <v>710</v>
      </c>
      <c r="I133">
        <v>710</v>
      </c>
      <c r="J133">
        <v>1200</v>
      </c>
      <c r="K133">
        <v>400</v>
      </c>
      <c r="L133">
        <v>800</v>
      </c>
      <c r="M133">
        <v>800</v>
      </c>
      <c r="O133">
        <v>525</v>
      </c>
      <c r="P133">
        <v>37.4</v>
      </c>
      <c r="T133" t="s">
        <v>123</v>
      </c>
    </row>
    <row r="134" spans="1:20" x14ac:dyDescent="0.25">
      <c r="A134" t="s">
        <v>211</v>
      </c>
      <c r="B134" t="s">
        <v>242</v>
      </c>
      <c r="C134" t="s">
        <v>245</v>
      </c>
      <c r="D134">
        <v>460</v>
      </c>
      <c r="E134" s="2">
        <f t="shared" si="5"/>
        <v>4600</v>
      </c>
      <c r="F134">
        <v>1150</v>
      </c>
      <c r="G134">
        <v>1050</v>
      </c>
      <c r="H134">
        <v>820</v>
      </c>
      <c r="I134">
        <v>820</v>
      </c>
      <c r="J134">
        <v>1300</v>
      </c>
      <c r="K134">
        <v>400</v>
      </c>
      <c r="L134">
        <v>900</v>
      </c>
      <c r="M134">
        <v>900</v>
      </c>
      <c r="O134">
        <v>690</v>
      </c>
      <c r="P134">
        <v>42.9</v>
      </c>
      <c r="T134" t="s">
        <v>246</v>
      </c>
    </row>
    <row r="135" spans="1:20" x14ac:dyDescent="0.25">
      <c r="A135" t="s">
        <v>97</v>
      </c>
      <c r="B135" t="s">
        <v>98</v>
      </c>
      <c r="C135" t="s">
        <v>99</v>
      </c>
      <c r="D135">
        <v>55</v>
      </c>
      <c r="E135" s="2">
        <f t="shared" si="5"/>
        <v>550</v>
      </c>
      <c r="F135">
        <v>560</v>
      </c>
      <c r="G135">
        <v>510</v>
      </c>
      <c r="H135">
        <v>360</v>
      </c>
      <c r="I135">
        <v>360</v>
      </c>
      <c r="J135">
        <v>600</v>
      </c>
      <c r="K135">
        <v>200</v>
      </c>
      <c r="L135">
        <v>400</v>
      </c>
      <c r="M135">
        <v>350</v>
      </c>
      <c r="O135">
        <v>82.5</v>
      </c>
      <c r="P135">
        <v>14.8</v>
      </c>
      <c r="T135" t="s">
        <v>100</v>
      </c>
    </row>
    <row r="136" spans="1:20" x14ac:dyDescent="0.25">
      <c r="A136" t="s">
        <v>97</v>
      </c>
      <c r="B136" t="s">
        <v>98</v>
      </c>
      <c r="C136" t="s">
        <v>101</v>
      </c>
      <c r="D136">
        <v>75</v>
      </c>
      <c r="E136" s="2">
        <f t="shared" si="5"/>
        <v>750</v>
      </c>
      <c r="F136">
        <v>630</v>
      </c>
      <c r="G136">
        <v>580</v>
      </c>
      <c r="H136">
        <v>410</v>
      </c>
      <c r="I136">
        <v>410</v>
      </c>
      <c r="J136">
        <v>700</v>
      </c>
      <c r="K136">
        <v>200</v>
      </c>
      <c r="L136">
        <v>450</v>
      </c>
      <c r="M136">
        <v>400</v>
      </c>
      <c r="O136">
        <v>112.5</v>
      </c>
      <c r="P136">
        <v>17.3</v>
      </c>
      <c r="T136" t="s">
        <v>102</v>
      </c>
    </row>
    <row r="137" spans="1:20" x14ac:dyDescent="0.25">
      <c r="A137" t="s">
        <v>97</v>
      </c>
      <c r="B137" t="s">
        <v>98</v>
      </c>
      <c r="C137" t="s">
        <v>103</v>
      </c>
      <c r="D137">
        <v>143</v>
      </c>
      <c r="E137" s="2">
        <f t="shared" si="5"/>
        <v>1430</v>
      </c>
      <c r="F137">
        <v>750</v>
      </c>
      <c r="G137">
        <v>680</v>
      </c>
      <c r="H137">
        <v>510</v>
      </c>
      <c r="I137">
        <v>510</v>
      </c>
      <c r="J137">
        <v>800</v>
      </c>
      <c r="K137">
        <v>250</v>
      </c>
      <c r="L137">
        <v>550</v>
      </c>
      <c r="M137">
        <v>500</v>
      </c>
      <c r="O137">
        <v>214.5</v>
      </c>
      <c r="P137">
        <v>23.9</v>
      </c>
      <c r="T137" t="s">
        <v>104</v>
      </c>
    </row>
    <row r="138" spans="1:20" x14ac:dyDescent="0.25">
      <c r="A138" t="s">
        <v>97</v>
      </c>
      <c r="B138" t="s">
        <v>98</v>
      </c>
      <c r="C138" t="s">
        <v>105</v>
      </c>
      <c r="D138">
        <v>198</v>
      </c>
      <c r="E138" s="2">
        <f t="shared" si="5"/>
        <v>1980</v>
      </c>
      <c r="F138">
        <v>830</v>
      </c>
      <c r="G138">
        <v>760</v>
      </c>
      <c r="H138">
        <v>560</v>
      </c>
      <c r="I138">
        <v>560</v>
      </c>
      <c r="J138">
        <v>900</v>
      </c>
      <c r="K138">
        <v>300</v>
      </c>
      <c r="L138">
        <v>600</v>
      </c>
      <c r="M138">
        <v>600</v>
      </c>
      <c r="O138">
        <v>297</v>
      </c>
      <c r="P138">
        <v>28.1</v>
      </c>
      <c r="T138" t="s">
        <v>106</v>
      </c>
    </row>
    <row r="139" spans="1:20" x14ac:dyDescent="0.25">
      <c r="A139" t="s">
        <v>97</v>
      </c>
      <c r="B139" t="s">
        <v>98</v>
      </c>
      <c r="C139" t="s">
        <v>107</v>
      </c>
      <c r="D139">
        <v>308</v>
      </c>
      <c r="E139" s="2">
        <f t="shared" si="5"/>
        <v>3080</v>
      </c>
      <c r="F139">
        <v>900</v>
      </c>
      <c r="G139">
        <v>840</v>
      </c>
      <c r="H139">
        <v>610</v>
      </c>
      <c r="I139">
        <v>610</v>
      </c>
      <c r="J139">
        <v>1000</v>
      </c>
      <c r="K139">
        <v>300</v>
      </c>
      <c r="L139">
        <v>700</v>
      </c>
      <c r="M139">
        <v>700</v>
      </c>
      <c r="O139">
        <v>462</v>
      </c>
      <c r="P139">
        <v>35.1</v>
      </c>
      <c r="T139" t="s">
        <v>72</v>
      </c>
    </row>
    <row r="140" spans="1:20" x14ac:dyDescent="0.25">
      <c r="A140" t="s">
        <v>97</v>
      </c>
      <c r="B140" t="s">
        <v>98</v>
      </c>
      <c r="C140" t="s">
        <v>108</v>
      </c>
      <c r="D140">
        <v>385</v>
      </c>
      <c r="E140" s="2">
        <f t="shared" si="5"/>
        <v>3850</v>
      </c>
      <c r="F140">
        <v>1020</v>
      </c>
      <c r="G140">
        <v>950</v>
      </c>
      <c r="H140">
        <v>710</v>
      </c>
      <c r="I140">
        <v>710</v>
      </c>
      <c r="J140">
        <v>1200</v>
      </c>
      <c r="K140">
        <v>350</v>
      </c>
      <c r="L140">
        <v>800</v>
      </c>
      <c r="M140">
        <v>800</v>
      </c>
      <c r="O140">
        <v>577.5</v>
      </c>
      <c r="P140">
        <v>39.200000000000003</v>
      </c>
      <c r="T140" t="s">
        <v>109</v>
      </c>
    </row>
    <row r="141" spans="1:20" x14ac:dyDescent="0.25">
      <c r="A141" t="s">
        <v>97</v>
      </c>
      <c r="B141" t="s">
        <v>98</v>
      </c>
      <c r="C141" t="s">
        <v>110</v>
      </c>
      <c r="D141">
        <v>495</v>
      </c>
      <c r="E141" s="2">
        <f t="shared" si="5"/>
        <v>4950</v>
      </c>
      <c r="F141">
        <v>1150</v>
      </c>
      <c r="G141">
        <v>1050</v>
      </c>
      <c r="H141">
        <v>820</v>
      </c>
      <c r="I141">
        <v>820</v>
      </c>
      <c r="J141">
        <v>1300</v>
      </c>
      <c r="K141">
        <v>400</v>
      </c>
      <c r="L141">
        <v>900</v>
      </c>
      <c r="M141">
        <v>900</v>
      </c>
      <c r="O141">
        <v>742.5</v>
      </c>
      <c r="P141">
        <v>44.5</v>
      </c>
      <c r="T141" t="s">
        <v>111</v>
      </c>
    </row>
    <row r="142" spans="1:20" x14ac:dyDescent="0.25">
      <c r="A142" t="s">
        <v>97</v>
      </c>
      <c r="B142" t="s">
        <v>98</v>
      </c>
      <c r="C142" t="s">
        <v>112</v>
      </c>
      <c r="D142">
        <v>550</v>
      </c>
      <c r="E142" s="2">
        <f t="shared" si="5"/>
        <v>5500</v>
      </c>
      <c r="F142">
        <v>1250</v>
      </c>
      <c r="G142">
        <v>1150</v>
      </c>
      <c r="H142">
        <v>920</v>
      </c>
      <c r="I142">
        <v>920</v>
      </c>
      <c r="J142">
        <v>1400</v>
      </c>
      <c r="K142">
        <v>450</v>
      </c>
      <c r="L142">
        <v>1000</v>
      </c>
      <c r="M142">
        <v>1000</v>
      </c>
      <c r="O142">
        <v>825</v>
      </c>
      <c r="P142">
        <v>46.9</v>
      </c>
      <c r="T142" t="s">
        <v>74</v>
      </c>
    </row>
    <row r="143" spans="1:20" x14ac:dyDescent="0.25">
      <c r="A143" t="s">
        <v>97</v>
      </c>
      <c r="B143" t="s">
        <v>113</v>
      </c>
      <c r="C143" t="s">
        <v>114</v>
      </c>
      <c r="D143">
        <v>143</v>
      </c>
      <c r="E143" s="2">
        <f t="shared" si="5"/>
        <v>1430</v>
      </c>
      <c r="F143">
        <v>750</v>
      </c>
      <c r="G143">
        <v>680</v>
      </c>
      <c r="H143">
        <v>510</v>
      </c>
      <c r="I143">
        <v>510</v>
      </c>
      <c r="J143">
        <v>800</v>
      </c>
      <c r="K143">
        <v>250</v>
      </c>
      <c r="L143">
        <v>550</v>
      </c>
      <c r="M143">
        <v>500</v>
      </c>
      <c r="O143">
        <v>214.5</v>
      </c>
      <c r="P143">
        <v>23.9</v>
      </c>
      <c r="T143" t="s">
        <v>115</v>
      </c>
    </row>
    <row r="144" spans="1:20" x14ac:dyDescent="0.25">
      <c r="A144" t="s">
        <v>97</v>
      </c>
      <c r="B144" t="s">
        <v>113</v>
      </c>
      <c r="C144" t="s">
        <v>116</v>
      </c>
      <c r="D144">
        <v>198</v>
      </c>
      <c r="E144" s="2">
        <f t="shared" si="5"/>
        <v>1980</v>
      </c>
      <c r="F144">
        <v>830</v>
      </c>
      <c r="G144">
        <v>760</v>
      </c>
      <c r="H144">
        <v>560</v>
      </c>
      <c r="I144">
        <v>560</v>
      </c>
      <c r="J144">
        <v>900</v>
      </c>
      <c r="K144">
        <v>300</v>
      </c>
      <c r="L144">
        <v>600</v>
      </c>
      <c r="M144">
        <v>600</v>
      </c>
      <c r="O144">
        <v>297</v>
      </c>
      <c r="P144">
        <v>28.1</v>
      </c>
      <c r="T144" t="s">
        <v>117</v>
      </c>
    </row>
    <row r="145" spans="1:20" x14ac:dyDescent="0.25">
      <c r="A145" t="s">
        <v>97</v>
      </c>
      <c r="B145" t="s">
        <v>113</v>
      </c>
      <c r="C145" t="s">
        <v>118</v>
      </c>
      <c r="D145">
        <v>242</v>
      </c>
      <c r="E145" s="2">
        <f t="shared" si="5"/>
        <v>2420</v>
      </c>
      <c r="F145">
        <v>880</v>
      </c>
      <c r="G145">
        <v>810</v>
      </c>
      <c r="H145">
        <v>610</v>
      </c>
      <c r="I145">
        <v>610</v>
      </c>
      <c r="J145">
        <v>1000</v>
      </c>
      <c r="K145">
        <v>300</v>
      </c>
      <c r="L145">
        <v>700</v>
      </c>
      <c r="M145">
        <v>700</v>
      </c>
      <c r="O145">
        <v>363</v>
      </c>
      <c r="P145">
        <v>31.1</v>
      </c>
      <c r="T145" t="s">
        <v>119</v>
      </c>
    </row>
    <row r="146" spans="1:20" x14ac:dyDescent="0.25">
      <c r="A146" t="s">
        <v>97</v>
      </c>
      <c r="B146" t="s">
        <v>113</v>
      </c>
      <c r="C146" t="s">
        <v>120</v>
      </c>
      <c r="D146">
        <v>308</v>
      </c>
      <c r="E146" s="2">
        <f>D146*10</f>
        <v>3080</v>
      </c>
      <c r="F146">
        <v>950</v>
      </c>
      <c r="G146">
        <v>850</v>
      </c>
      <c r="H146">
        <v>660</v>
      </c>
      <c r="I146">
        <v>660</v>
      </c>
      <c r="J146">
        <v>1100</v>
      </c>
      <c r="K146">
        <v>350</v>
      </c>
      <c r="L146">
        <v>750</v>
      </c>
      <c r="M146">
        <v>750</v>
      </c>
      <c r="O146">
        <v>462</v>
      </c>
      <c r="P146">
        <v>35.1</v>
      </c>
      <c r="T146" t="s">
        <v>121</v>
      </c>
    </row>
    <row r="147" spans="1:20" x14ac:dyDescent="0.25">
      <c r="A147" t="s">
        <v>97</v>
      </c>
      <c r="B147" t="s">
        <v>113</v>
      </c>
      <c r="C147" t="s">
        <v>122</v>
      </c>
      <c r="D147">
        <v>385</v>
      </c>
      <c r="E147" s="2">
        <f t="shared" ref="E147:E164" si="6">D147*10</f>
        <v>3850</v>
      </c>
      <c r="F147">
        <v>1050</v>
      </c>
      <c r="G147">
        <v>950</v>
      </c>
      <c r="H147">
        <v>710</v>
      </c>
      <c r="I147">
        <v>710</v>
      </c>
      <c r="J147">
        <v>1200</v>
      </c>
      <c r="K147">
        <v>400</v>
      </c>
      <c r="L147">
        <v>800</v>
      </c>
      <c r="M147">
        <v>800</v>
      </c>
      <c r="O147">
        <v>577.5</v>
      </c>
      <c r="P147">
        <v>39.200000000000003</v>
      </c>
      <c r="T147" t="s">
        <v>123</v>
      </c>
    </row>
    <row r="148" spans="1:20" x14ac:dyDescent="0.25">
      <c r="A148" t="s">
        <v>97</v>
      </c>
      <c r="B148" t="s">
        <v>124</v>
      </c>
      <c r="C148" t="s">
        <v>125</v>
      </c>
      <c r="D148">
        <v>33</v>
      </c>
      <c r="E148" s="2">
        <f t="shared" si="6"/>
        <v>330</v>
      </c>
      <c r="F148">
        <v>450</v>
      </c>
      <c r="G148">
        <v>420</v>
      </c>
      <c r="H148">
        <v>300</v>
      </c>
      <c r="I148">
        <v>300</v>
      </c>
      <c r="J148">
        <v>500</v>
      </c>
      <c r="K148">
        <v>150</v>
      </c>
      <c r="L148">
        <v>300</v>
      </c>
      <c r="M148">
        <v>300</v>
      </c>
      <c r="O148">
        <v>49.5</v>
      </c>
      <c r="P148">
        <v>11.5</v>
      </c>
      <c r="T148" t="s">
        <v>126</v>
      </c>
    </row>
    <row r="149" spans="1:20" x14ac:dyDescent="0.25">
      <c r="A149" t="s">
        <v>97</v>
      </c>
      <c r="B149" t="s">
        <v>124</v>
      </c>
      <c r="C149" t="s">
        <v>127</v>
      </c>
      <c r="D149">
        <v>55</v>
      </c>
      <c r="E149" s="2">
        <f t="shared" si="6"/>
        <v>550</v>
      </c>
      <c r="F149">
        <v>560</v>
      </c>
      <c r="G149">
        <v>510</v>
      </c>
      <c r="H149">
        <v>360</v>
      </c>
      <c r="I149">
        <v>360</v>
      </c>
      <c r="J149">
        <v>600</v>
      </c>
      <c r="K149">
        <v>200</v>
      </c>
      <c r="L149">
        <v>400</v>
      </c>
      <c r="M149">
        <v>350</v>
      </c>
      <c r="O149">
        <v>82.5</v>
      </c>
      <c r="P149">
        <v>14.8</v>
      </c>
      <c r="T149" t="s">
        <v>128</v>
      </c>
    </row>
    <row r="150" spans="1:20" x14ac:dyDescent="0.25">
      <c r="A150" t="s">
        <v>97</v>
      </c>
      <c r="B150" t="s">
        <v>124</v>
      </c>
      <c r="C150" t="s">
        <v>129</v>
      </c>
      <c r="D150">
        <v>75</v>
      </c>
      <c r="E150" s="2">
        <f t="shared" si="6"/>
        <v>750</v>
      </c>
      <c r="F150">
        <v>630</v>
      </c>
      <c r="G150">
        <v>580</v>
      </c>
      <c r="H150">
        <v>410</v>
      </c>
      <c r="I150">
        <v>410</v>
      </c>
      <c r="J150">
        <v>700</v>
      </c>
      <c r="K150">
        <v>200</v>
      </c>
      <c r="L150">
        <v>450</v>
      </c>
      <c r="M150">
        <v>400</v>
      </c>
      <c r="O150">
        <v>112.5</v>
      </c>
      <c r="P150">
        <v>17.3</v>
      </c>
      <c r="T150" t="s">
        <v>130</v>
      </c>
    </row>
    <row r="151" spans="1:20" x14ac:dyDescent="0.25">
      <c r="A151" t="s">
        <v>97</v>
      </c>
      <c r="B151" t="s">
        <v>124</v>
      </c>
      <c r="C151" t="s">
        <v>131</v>
      </c>
      <c r="D151">
        <v>143</v>
      </c>
      <c r="E151" s="2">
        <f t="shared" si="6"/>
        <v>1430</v>
      </c>
      <c r="F151">
        <v>750</v>
      </c>
      <c r="G151">
        <v>680</v>
      </c>
      <c r="H151">
        <v>510</v>
      </c>
      <c r="I151">
        <v>510</v>
      </c>
      <c r="J151">
        <v>800</v>
      </c>
      <c r="K151">
        <v>250</v>
      </c>
      <c r="L151">
        <v>550</v>
      </c>
      <c r="M151">
        <v>500</v>
      </c>
      <c r="O151">
        <v>214.5</v>
      </c>
      <c r="P151">
        <v>23.9</v>
      </c>
      <c r="T151" t="s">
        <v>41</v>
      </c>
    </row>
    <row r="152" spans="1:20" x14ac:dyDescent="0.25">
      <c r="A152" t="s">
        <v>97</v>
      </c>
      <c r="B152" t="s">
        <v>124</v>
      </c>
      <c r="C152" t="s">
        <v>132</v>
      </c>
      <c r="D152">
        <v>198</v>
      </c>
      <c r="E152" s="2">
        <f t="shared" si="6"/>
        <v>1980</v>
      </c>
      <c r="F152">
        <v>830</v>
      </c>
      <c r="G152">
        <v>760</v>
      </c>
      <c r="H152">
        <v>560</v>
      </c>
      <c r="I152">
        <v>560</v>
      </c>
      <c r="J152">
        <v>900</v>
      </c>
      <c r="K152">
        <v>300</v>
      </c>
      <c r="L152">
        <v>600</v>
      </c>
      <c r="M152">
        <v>600</v>
      </c>
      <c r="O152">
        <v>297</v>
      </c>
      <c r="P152">
        <v>28.1</v>
      </c>
      <c r="T152" t="s">
        <v>133</v>
      </c>
    </row>
    <row r="153" spans="1:20" x14ac:dyDescent="0.25">
      <c r="A153" t="s">
        <v>97</v>
      </c>
      <c r="B153" t="s">
        <v>124</v>
      </c>
      <c r="C153" t="s">
        <v>134</v>
      </c>
      <c r="D153">
        <v>308</v>
      </c>
      <c r="E153" s="2">
        <f t="shared" si="6"/>
        <v>3080</v>
      </c>
      <c r="F153">
        <v>900</v>
      </c>
      <c r="G153">
        <v>840</v>
      </c>
      <c r="H153">
        <v>610</v>
      </c>
      <c r="I153">
        <v>610</v>
      </c>
      <c r="J153">
        <v>1000</v>
      </c>
      <c r="K153">
        <v>300</v>
      </c>
      <c r="L153">
        <v>700</v>
      </c>
      <c r="M153">
        <v>700</v>
      </c>
      <c r="O153">
        <v>462</v>
      </c>
      <c r="P153">
        <v>35.1</v>
      </c>
      <c r="T153" t="s">
        <v>72</v>
      </c>
    </row>
    <row r="154" spans="1:20" x14ac:dyDescent="0.25">
      <c r="A154" t="s">
        <v>97</v>
      </c>
      <c r="B154" t="s">
        <v>124</v>
      </c>
      <c r="C154" t="s">
        <v>135</v>
      </c>
      <c r="D154">
        <v>385</v>
      </c>
      <c r="E154" s="2">
        <f t="shared" si="6"/>
        <v>3850</v>
      </c>
      <c r="F154">
        <v>1020</v>
      </c>
      <c r="G154">
        <v>950</v>
      </c>
      <c r="H154">
        <v>710</v>
      </c>
      <c r="I154">
        <v>710</v>
      </c>
      <c r="J154">
        <v>1200</v>
      </c>
      <c r="K154">
        <v>350</v>
      </c>
      <c r="L154">
        <v>800</v>
      </c>
      <c r="M154">
        <v>800</v>
      </c>
      <c r="O154">
        <v>577.5</v>
      </c>
      <c r="P154">
        <v>39.200000000000003</v>
      </c>
      <c r="T154" t="s">
        <v>136</v>
      </c>
    </row>
    <row r="155" spans="1:20" x14ac:dyDescent="0.25">
      <c r="A155" t="s">
        <v>97</v>
      </c>
      <c r="B155" t="s">
        <v>137</v>
      </c>
      <c r="C155" t="s">
        <v>138</v>
      </c>
      <c r="D155">
        <v>220</v>
      </c>
      <c r="E155" s="2">
        <f t="shared" si="6"/>
        <v>2200</v>
      </c>
      <c r="F155">
        <v>880</v>
      </c>
      <c r="G155">
        <v>810</v>
      </c>
      <c r="H155">
        <v>610</v>
      </c>
      <c r="I155">
        <v>610</v>
      </c>
      <c r="J155">
        <v>1000</v>
      </c>
      <c r="K155">
        <v>300</v>
      </c>
      <c r="L155">
        <v>700</v>
      </c>
      <c r="M155">
        <v>700</v>
      </c>
      <c r="O155">
        <v>330</v>
      </c>
      <c r="P155">
        <v>29.7</v>
      </c>
      <c r="T155" t="s">
        <v>139</v>
      </c>
    </row>
    <row r="156" spans="1:20" x14ac:dyDescent="0.25">
      <c r="A156" t="s">
        <v>97</v>
      </c>
      <c r="B156" t="s">
        <v>137</v>
      </c>
      <c r="C156" t="s">
        <v>140</v>
      </c>
      <c r="D156">
        <v>350</v>
      </c>
      <c r="E156" s="2">
        <f t="shared" si="6"/>
        <v>3500</v>
      </c>
      <c r="F156">
        <v>1050</v>
      </c>
      <c r="G156">
        <v>950</v>
      </c>
      <c r="H156">
        <v>710</v>
      </c>
      <c r="I156">
        <v>710</v>
      </c>
      <c r="J156">
        <v>1200</v>
      </c>
      <c r="K156">
        <v>400</v>
      </c>
      <c r="L156">
        <v>800</v>
      </c>
      <c r="M156">
        <v>800</v>
      </c>
      <c r="O156">
        <v>525</v>
      </c>
      <c r="P156">
        <v>37.4</v>
      </c>
      <c r="T156" t="s">
        <v>141</v>
      </c>
    </row>
    <row r="157" spans="1:20" x14ac:dyDescent="0.25">
      <c r="A157" s="1" t="s">
        <v>97</v>
      </c>
      <c r="B157" s="1" t="s">
        <v>137</v>
      </c>
      <c r="C157" s="1" t="s">
        <v>142</v>
      </c>
      <c r="D157" s="1">
        <v>450</v>
      </c>
      <c r="E157" s="2">
        <f t="shared" si="6"/>
        <v>4500</v>
      </c>
      <c r="F157" s="1">
        <v>1150</v>
      </c>
      <c r="G157" s="1">
        <v>1050</v>
      </c>
      <c r="H157" s="1">
        <v>820</v>
      </c>
      <c r="I157" s="1">
        <v>820</v>
      </c>
      <c r="J157" s="1">
        <v>1300</v>
      </c>
      <c r="K157" s="1">
        <v>400</v>
      </c>
      <c r="L157" s="1">
        <v>900</v>
      </c>
      <c r="M157" s="1">
        <v>900</v>
      </c>
      <c r="N157" s="1"/>
      <c r="O157" s="1">
        <v>675</v>
      </c>
      <c r="P157" s="1">
        <v>42.4</v>
      </c>
      <c r="T157" s="1" t="s">
        <v>143</v>
      </c>
    </row>
    <row r="158" spans="1:20" x14ac:dyDescent="0.25">
      <c r="A158" s="1" t="s">
        <v>97</v>
      </c>
      <c r="B158" s="1" t="s">
        <v>137</v>
      </c>
      <c r="C158" s="1" t="s">
        <v>144</v>
      </c>
      <c r="D158" s="1">
        <v>500</v>
      </c>
      <c r="E158" s="2">
        <f t="shared" si="6"/>
        <v>5000</v>
      </c>
      <c r="F158" s="1">
        <v>1250</v>
      </c>
      <c r="G158" s="1">
        <v>1150</v>
      </c>
      <c r="H158" s="1">
        <v>920</v>
      </c>
      <c r="I158" s="1">
        <v>920</v>
      </c>
      <c r="J158" s="1">
        <v>1400</v>
      </c>
      <c r="K158" s="1">
        <v>450</v>
      </c>
      <c r="L158" s="1">
        <v>1000</v>
      </c>
      <c r="M158" s="1">
        <v>1000</v>
      </c>
      <c r="N158" s="1"/>
      <c r="O158" s="1">
        <v>750</v>
      </c>
      <c r="P158" s="1">
        <v>44.7</v>
      </c>
      <c r="T158" s="1" t="s">
        <v>145</v>
      </c>
    </row>
    <row r="159" spans="1:20" x14ac:dyDescent="0.25">
      <c r="A159" s="1" t="s">
        <v>97</v>
      </c>
      <c r="B159" s="1" t="s">
        <v>146</v>
      </c>
      <c r="C159" s="1" t="s">
        <v>147</v>
      </c>
      <c r="D159" s="1">
        <v>231</v>
      </c>
      <c r="E159" s="2">
        <f t="shared" si="6"/>
        <v>2310</v>
      </c>
      <c r="F159" s="1">
        <v>880</v>
      </c>
      <c r="G159" s="1">
        <v>810</v>
      </c>
      <c r="H159" s="1">
        <v>610</v>
      </c>
      <c r="I159" s="1">
        <v>610</v>
      </c>
      <c r="J159" s="1">
        <v>1000</v>
      </c>
      <c r="K159" s="1">
        <v>300</v>
      </c>
      <c r="L159" s="1">
        <v>700</v>
      </c>
      <c r="M159" s="1">
        <v>700</v>
      </c>
      <c r="N159" s="1"/>
      <c r="O159" s="1">
        <v>346.5</v>
      </c>
      <c r="P159" s="1">
        <v>30.4</v>
      </c>
      <c r="T159" s="1" t="s">
        <v>148</v>
      </c>
    </row>
    <row r="160" spans="1:20" x14ac:dyDescent="0.25">
      <c r="A160" s="1" t="s">
        <v>97</v>
      </c>
      <c r="B160" s="1" t="s">
        <v>146</v>
      </c>
      <c r="C160" s="1" t="s">
        <v>149</v>
      </c>
      <c r="D160" s="1">
        <v>308</v>
      </c>
      <c r="E160" s="2">
        <f t="shared" si="6"/>
        <v>3080</v>
      </c>
      <c r="F160" s="1">
        <v>950</v>
      </c>
      <c r="G160" s="1">
        <v>850</v>
      </c>
      <c r="H160" s="1">
        <v>660</v>
      </c>
      <c r="I160" s="1">
        <v>660</v>
      </c>
      <c r="J160" s="1">
        <v>1100</v>
      </c>
      <c r="K160" s="1">
        <v>350</v>
      </c>
      <c r="L160" s="1">
        <v>750</v>
      </c>
      <c r="M160" s="1">
        <v>750</v>
      </c>
      <c r="N160" s="1"/>
      <c r="O160" s="1">
        <v>462</v>
      </c>
      <c r="P160" s="1">
        <v>35.1</v>
      </c>
      <c r="T160" s="1" t="s">
        <v>150</v>
      </c>
    </row>
    <row r="161" spans="1:20" x14ac:dyDescent="0.25">
      <c r="A161" s="1" t="s">
        <v>97</v>
      </c>
      <c r="B161" s="1" t="s">
        <v>146</v>
      </c>
      <c r="C161" s="1" t="s">
        <v>151</v>
      </c>
      <c r="D161" s="1">
        <v>385</v>
      </c>
      <c r="E161" s="2">
        <f t="shared" si="6"/>
        <v>3850</v>
      </c>
      <c r="F161" s="1">
        <v>1050</v>
      </c>
      <c r="G161" s="1">
        <v>950</v>
      </c>
      <c r="H161" s="1">
        <v>710</v>
      </c>
      <c r="I161" s="1">
        <v>710</v>
      </c>
      <c r="J161" s="1">
        <v>1200</v>
      </c>
      <c r="K161" s="1">
        <v>400</v>
      </c>
      <c r="L161" s="1">
        <v>800</v>
      </c>
      <c r="M161" s="1">
        <v>800</v>
      </c>
      <c r="N161" s="1"/>
      <c r="O161" s="1">
        <v>577.5</v>
      </c>
      <c r="P161" s="1">
        <v>39.200000000000003</v>
      </c>
      <c r="T161" s="1" t="s">
        <v>49</v>
      </c>
    </row>
    <row r="162" spans="1:20" x14ac:dyDescent="0.25">
      <c r="A162" s="2" t="s">
        <v>97</v>
      </c>
      <c r="B162" s="2" t="s">
        <v>146</v>
      </c>
      <c r="C162" s="2" t="s">
        <v>152</v>
      </c>
      <c r="D162" s="2">
        <v>550</v>
      </c>
      <c r="E162" s="2">
        <f t="shared" si="6"/>
        <v>5500</v>
      </c>
      <c r="F162" s="2">
        <v>1250</v>
      </c>
      <c r="G162" s="2">
        <v>1150</v>
      </c>
      <c r="H162" s="2">
        <v>920</v>
      </c>
      <c r="I162" s="2">
        <v>920</v>
      </c>
      <c r="J162" s="2">
        <v>1400</v>
      </c>
      <c r="K162" s="2">
        <v>450</v>
      </c>
      <c r="L162" s="2">
        <v>1000</v>
      </c>
      <c r="M162" s="2">
        <v>1000</v>
      </c>
      <c r="N162" s="2"/>
      <c r="O162" s="2">
        <v>825</v>
      </c>
      <c r="P162" s="2">
        <v>46.9</v>
      </c>
      <c r="T162" s="2" t="s">
        <v>153</v>
      </c>
    </row>
    <row r="163" spans="1:20" x14ac:dyDescent="0.25">
      <c r="A163" t="s">
        <v>353</v>
      </c>
      <c r="B163" t="s">
        <v>354</v>
      </c>
      <c r="C163" t="s">
        <v>355</v>
      </c>
      <c r="D163">
        <v>33</v>
      </c>
      <c r="E163" s="2">
        <f t="shared" si="6"/>
        <v>330</v>
      </c>
      <c r="T163" s="2" t="s">
        <v>358</v>
      </c>
    </row>
    <row r="164" spans="1:20" x14ac:dyDescent="0.25">
      <c r="A164" s="2" t="s">
        <v>353</v>
      </c>
      <c r="B164" s="2" t="s">
        <v>354</v>
      </c>
      <c r="C164" s="3" t="s">
        <v>357</v>
      </c>
      <c r="D164">
        <v>198</v>
      </c>
      <c r="E164" s="2">
        <f t="shared" si="6"/>
        <v>1980</v>
      </c>
      <c r="F164">
        <v>790</v>
      </c>
      <c r="G164">
        <v>740</v>
      </c>
      <c r="H164">
        <v>560</v>
      </c>
      <c r="I164">
        <v>510</v>
      </c>
      <c r="J164">
        <v>1050</v>
      </c>
      <c r="K164">
        <v>200</v>
      </c>
      <c r="L164">
        <v>600</v>
      </c>
      <c r="M164">
        <v>450</v>
      </c>
      <c r="O164">
        <v>292</v>
      </c>
      <c r="P164">
        <v>45</v>
      </c>
      <c r="S164" s="2">
        <v>130</v>
      </c>
      <c r="T164" t="s">
        <v>358</v>
      </c>
    </row>
    <row r="165" spans="1:20" x14ac:dyDescent="0.25">
      <c r="A165" s="2" t="s">
        <v>353</v>
      </c>
      <c r="B165" s="2" t="s">
        <v>354</v>
      </c>
      <c r="C165" t="s">
        <v>356</v>
      </c>
      <c r="D165">
        <v>254</v>
      </c>
      <c r="E165" s="2">
        <f>D165*10</f>
        <v>2540</v>
      </c>
      <c r="T165" s="2" t="s">
        <v>358</v>
      </c>
    </row>
    <row r="166" spans="1:20" x14ac:dyDescent="0.25">
      <c r="A166" t="s">
        <v>359</v>
      </c>
      <c r="B166" t="s">
        <v>360</v>
      </c>
      <c r="C166" s="3" t="s">
        <v>361</v>
      </c>
      <c r="D166">
        <v>300</v>
      </c>
      <c r="E166" s="2">
        <v>3000</v>
      </c>
      <c r="F166">
        <v>970</v>
      </c>
      <c r="G166">
        <v>970</v>
      </c>
      <c r="H166">
        <v>720</v>
      </c>
      <c r="I166" s="2">
        <v>720</v>
      </c>
      <c r="J166">
        <v>900</v>
      </c>
      <c r="K166">
        <v>250</v>
      </c>
      <c r="L166">
        <v>650</v>
      </c>
      <c r="M166">
        <v>610</v>
      </c>
      <c r="O166">
        <v>341</v>
      </c>
      <c r="P166">
        <v>48</v>
      </c>
      <c r="S166" s="2">
        <v>150</v>
      </c>
    </row>
  </sheetData>
  <sortState xmlns:xlrd2="http://schemas.microsoft.com/office/spreadsheetml/2017/richdata2" ref="A2:T165">
    <sortCondition ref="A2:A165"/>
  </sortState>
  <phoneticPr fontId="2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6CEE4A-7CCF-4455-857B-32193F671A1E}">
  <dimension ref="B1:E59"/>
  <sheetViews>
    <sheetView workbookViewId="0">
      <pane ySplit="1" topLeftCell="A11" activePane="bottomLeft" state="frozen"/>
      <selection pane="bottomLeft" activeCell="K33" sqref="K33"/>
    </sheetView>
  </sheetViews>
  <sheetFormatPr defaultRowHeight="15" x14ac:dyDescent="0.25"/>
  <cols>
    <col min="2" max="2" width="17.7109375" style="5" customWidth="1"/>
    <col min="3" max="3" width="13.5703125" customWidth="1"/>
    <col min="4" max="4" width="29.28515625" customWidth="1"/>
    <col min="5" max="5" width="33.5703125" bestFit="1" customWidth="1"/>
  </cols>
  <sheetData>
    <row r="1" spans="2:5" x14ac:dyDescent="0.25">
      <c r="B1" s="6" t="s">
        <v>344</v>
      </c>
      <c r="C1" s="7" t="s">
        <v>307</v>
      </c>
      <c r="D1" s="7" t="s">
        <v>317</v>
      </c>
      <c r="E1" s="6" t="s">
        <v>343</v>
      </c>
    </row>
    <row r="2" spans="2:5" x14ac:dyDescent="0.25">
      <c r="B2" s="5" t="s">
        <v>300</v>
      </c>
      <c r="C2" t="s">
        <v>301</v>
      </c>
    </row>
    <row r="3" spans="2:5" x14ac:dyDescent="0.25">
      <c r="B3" s="5" t="s">
        <v>302</v>
      </c>
      <c r="C3" t="s">
        <v>303</v>
      </c>
    </row>
    <row r="4" spans="2:5" x14ac:dyDescent="0.25">
      <c r="B4" s="5" t="s">
        <v>304</v>
      </c>
      <c r="C4" t="s">
        <v>305</v>
      </c>
    </row>
    <row r="6" spans="2:5" x14ac:dyDescent="0.25">
      <c r="B6" s="5" t="s">
        <v>306</v>
      </c>
      <c r="C6" t="s">
        <v>308</v>
      </c>
    </row>
    <row r="7" spans="2:5" x14ac:dyDescent="0.25">
      <c r="B7" s="5" t="s">
        <v>309</v>
      </c>
      <c r="C7" t="s">
        <v>310</v>
      </c>
    </row>
    <row r="9" spans="2:5" x14ac:dyDescent="0.25">
      <c r="B9" s="5" t="s">
        <v>311</v>
      </c>
      <c r="C9" t="s">
        <v>312</v>
      </c>
    </row>
    <row r="12" spans="2:5" x14ac:dyDescent="0.25">
      <c r="B12" s="5" t="s">
        <v>313</v>
      </c>
      <c r="C12" t="s">
        <v>314</v>
      </c>
    </row>
    <row r="14" spans="2:5" x14ac:dyDescent="0.25">
      <c r="B14" s="5" t="s">
        <v>315</v>
      </c>
    </row>
    <row r="18" spans="2:5" x14ac:dyDescent="0.25">
      <c r="B18" s="5" t="s">
        <v>316</v>
      </c>
      <c r="D18" t="s">
        <v>4</v>
      </c>
      <c r="E18" t="s">
        <v>340</v>
      </c>
    </row>
    <row r="19" spans="2:5" x14ac:dyDescent="0.25">
      <c r="B19" s="5" t="s">
        <v>319</v>
      </c>
      <c r="D19" t="s">
        <v>5</v>
      </c>
      <c r="E19" t="s">
        <v>341</v>
      </c>
    </row>
    <row r="21" spans="2:5" x14ac:dyDescent="0.25">
      <c r="B21" s="5" t="s">
        <v>318</v>
      </c>
      <c r="D21" t="s">
        <v>7</v>
      </c>
    </row>
    <row r="23" spans="2:5" x14ac:dyDescent="0.25">
      <c r="B23" s="5" t="s">
        <v>320</v>
      </c>
      <c r="D23" t="s">
        <v>9</v>
      </c>
    </row>
    <row r="25" spans="2:5" x14ac:dyDescent="0.25">
      <c r="B25" s="5" t="s">
        <v>321</v>
      </c>
      <c r="D25" t="s">
        <v>8</v>
      </c>
      <c r="E25" t="s">
        <v>342</v>
      </c>
    </row>
    <row r="27" spans="2:5" x14ac:dyDescent="0.25">
      <c r="B27" s="5" t="s">
        <v>322</v>
      </c>
      <c r="D27" t="s">
        <v>3</v>
      </c>
    </row>
    <row r="29" spans="2:5" x14ac:dyDescent="0.25">
      <c r="B29" s="5" t="s">
        <v>323</v>
      </c>
      <c r="D29" t="s">
        <v>13</v>
      </c>
    </row>
    <row r="30" spans="2:5" x14ac:dyDescent="0.25">
      <c r="B30" s="5" t="s">
        <v>324</v>
      </c>
      <c r="D30" t="s">
        <v>325</v>
      </c>
    </row>
    <row r="32" spans="2:5" x14ac:dyDescent="0.25">
      <c r="B32" s="5" t="s">
        <v>345</v>
      </c>
      <c r="E32" t="s">
        <v>346</v>
      </c>
    </row>
    <row r="33" spans="2:3" x14ac:dyDescent="0.25">
      <c r="B33" s="5" t="s">
        <v>347</v>
      </c>
      <c r="C33" s="5" t="s">
        <v>311</v>
      </c>
    </row>
    <row r="35" spans="2:3" x14ac:dyDescent="0.25">
      <c r="B35" s="5" t="s">
        <v>338</v>
      </c>
      <c r="C35" t="s">
        <v>339</v>
      </c>
    </row>
    <row r="36" spans="2:3" s="2" customFormat="1" x14ac:dyDescent="0.25">
      <c r="B36" s="5"/>
    </row>
    <row r="37" spans="2:3" s="2" customFormat="1" x14ac:dyDescent="0.25">
      <c r="B37" s="5"/>
    </row>
    <row r="38" spans="2:3" s="2" customFormat="1" x14ac:dyDescent="0.25">
      <c r="B38" s="5"/>
    </row>
    <row r="39" spans="2:3" s="2" customFormat="1" x14ac:dyDescent="0.25">
      <c r="B39" s="5"/>
    </row>
    <row r="40" spans="2:3" s="2" customFormat="1" x14ac:dyDescent="0.25">
      <c r="B40" s="5"/>
    </row>
    <row r="41" spans="2:3" s="2" customFormat="1" x14ac:dyDescent="0.25">
      <c r="B41" s="5"/>
    </row>
    <row r="42" spans="2:3" s="2" customFormat="1" x14ac:dyDescent="0.25">
      <c r="B42" s="5"/>
    </row>
    <row r="43" spans="2:3" s="2" customFormat="1" x14ac:dyDescent="0.25">
      <c r="B43" s="5"/>
    </row>
    <row r="44" spans="2:3" s="2" customFormat="1" x14ac:dyDescent="0.25">
      <c r="B44" s="5"/>
    </row>
    <row r="45" spans="2:3" s="2" customFormat="1" x14ac:dyDescent="0.25">
      <c r="B45" s="5"/>
    </row>
    <row r="46" spans="2:3" s="2" customFormat="1" x14ac:dyDescent="0.25">
      <c r="B46" s="5"/>
    </row>
    <row r="47" spans="2:3" s="2" customFormat="1" x14ac:dyDescent="0.25">
      <c r="B47" s="5"/>
    </row>
    <row r="48" spans="2:3" x14ac:dyDescent="0.25">
      <c r="B48" s="5" t="s">
        <v>326</v>
      </c>
    </row>
    <row r="49" spans="2:2" x14ac:dyDescent="0.25">
      <c r="B49" s="5" t="s">
        <v>327</v>
      </c>
    </row>
    <row r="50" spans="2:2" x14ac:dyDescent="0.25">
      <c r="B50" s="5" t="s">
        <v>328</v>
      </c>
    </row>
    <row r="51" spans="2:2" x14ac:dyDescent="0.25">
      <c r="B51" s="5" t="s">
        <v>329</v>
      </c>
    </row>
    <row r="52" spans="2:2" x14ac:dyDescent="0.25">
      <c r="B52" s="5" t="s">
        <v>330</v>
      </c>
    </row>
    <row r="53" spans="2:2" x14ac:dyDescent="0.25">
      <c r="B53" s="5" t="s">
        <v>331</v>
      </c>
    </row>
    <row r="54" spans="2:2" x14ac:dyDescent="0.25">
      <c r="B54" s="5" t="s">
        <v>332</v>
      </c>
    </row>
    <row r="55" spans="2:2" x14ac:dyDescent="0.25">
      <c r="B55" s="5" t="s">
        <v>333</v>
      </c>
    </row>
    <row r="56" spans="2:2" x14ac:dyDescent="0.25">
      <c r="B56" s="5" t="s">
        <v>334</v>
      </c>
    </row>
    <row r="57" spans="2:2" x14ac:dyDescent="0.25">
      <c r="B57" s="5" t="s">
        <v>335</v>
      </c>
    </row>
    <row r="58" spans="2:2" x14ac:dyDescent="0.25">
      <c r="B58" s="5" t="s">
        <v>336</v>
      </c>
    </row>
    <row r="59" spans="2:2" x14ac:dyDescent="0.25">
      <c r="B59" s="5" t="s">
        <v>337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4e47c19-e68f-4046-bf94-918d2dcc81ee}" enabled="1" method="Standard" siteId="{34cd94b5-d86c-447f-8d9b-81b4ff94d329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Huang, Eric</dc:creator>
  <cp:lastModifiedBy>Huang, Eric</cp:lastModifiedBy>
  <dcterms:created xsi:type="dcterms:W3CDTF">2026-06-03T15:51:50Z</dcterms:created>
  <dcterms:modified xsi:type="dcterms:W3CDTF">2026-06-12T17:52:42Z</dcterms:modified>
</cp:coreProperties>
</file>