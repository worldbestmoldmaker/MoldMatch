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7a41c63436a2eeaa/Documents/"/>
    </mc:Choice>
  </mc:AlternateContent>
  <xr:revisionPtr revIDLastSave="1" documentId="14_{FF8D5F3C-F02A-4C00-9DC1-BC784B402D4E}" xr6:coauthVersionLast="36" xr6:coauthVersionMax="47" xr10:uidLastSave="{F12F447D-8F49-42EF-8D1F-4C9967467F76}"/>
  <bookViews>
    <workbookView xWindow="-120" yWindow="-120" windowWidth="25440" windowHeight="15276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5" i="1" l="1"/>
  <c r="E8" i="1"/>
  <c r="E9" i="1"/>
  <c r="E10" i="1"/>
  <c r="E11" i="1"/>
  <c r="E12" i="1"/>
  <c r="E13" i="1"/>
  <c r="E14" i="1"/>
  <c r="E2" i="1"/>
  <c r="E3" i="1"/>
  <c r="E4" i="1"/>
  <c r="E5" i="1"/>
  <c r="E6" i="1"/>
  <c r="E7" i="1"/>
</calcChain>
</file>

<file path=xl/sharedStrings.xml><?xml version="1.0" encoding="utf-8"?>
<sst xmlns="http://schemas.openxmlformats.org/spreadsheetml/2006/main" count="162" uniqueCount="102">
  <si>
    <t>OEM</t>
  </si>
  <si>
    <t>Series</t>
  </si>
  <si>
    <t>Model</t>
  </si>
  <si>
    <t>Clamp Force (ton)</t>
  </si>
  <si>
    <t>Platen X (mm)</t>
  </si>
  <si>
    <t>Platen Y (mm)</t>
  </si>
  <si>
    <t>Tie Bar X (mm)</t>
  </si>
  <si>
    <t>Tie Bar Y (mm)</t>
  </si>
  <si>
    <t>Daylight Max (mm)</t>
  </si>
  <si>
    <t>Mold Min (mm)</t>
  </si>
  <si>
    <t>Mold Max (mm)</t>
  </si>
  <si>
    <t>Notes</t>
  </si>
  <si>
    <t>Daylight Min (mm)</t>
  </si>
  <si>
    <t>Shot Weight (g)</t>
  </si>
  <si>
    <t>Screw Size (mm)</t>
  </si>
  <si>
    <t>ARBURG</t>
  </si>
  <si>
    <t>ALLROUNDER S</t>
  </si>
  <si>
    <t>NETSTAL</t>
  </si>
  <si>
    <t>ELION</t>
  </si>
  <si>
    <t>Small precision</t>
  </si>
  <si>
    <t>ELION 800-N60</t>
  </si>
  <si>
    <t>ELION 800-N270</t>
  </si>
  <si>
    <t>Mold Weight Max (kg)</t>
  </si>
  <si>
    <t>Mold Weight Moving Platen Max (kg)</t>
  </si>
  <si>
    <t>Opening Stroke (mm)</t>
  </si>
  <si>
    <t xml:space="preserve"> mold_length</t>
  </si>
  <si>
    <t>value=636</t>
  </si>
  <si>
    <t>mold_width</t>
  </si>
  <si>
    <t>value=396</t>
  </si>
  <si>
    <t>mold_height</t>
  </si>
  <si>
    <t>value=458</t>
  </si>
  <si>
    <t>clamp_min</t>
  </si>
  <si>
    <t>Input</t>
  </si>
  <si>
    <t>value=50</t>
  </si>
  <si>
    <t>clamp_max</t>
  </si>
  <si>
    <t>value=200</t>
  </si>
  <si>
    <t>shot_weight</t>
  </si>
  <si>
    <t>value=15</t>
  </si>
  <si>
    <t>safety_clearance = mold_height * 0.1 + 20</t>
  </si>
  <si>
    <t>To add stroke/part depth</t>
  </si>
  <si>
    <t>df = load_data()</t>
  </si>
  <si>
    <t>platen_x</t>
  </si>
  <si>
    <t>From chart</t>
  </si>
  <si>
    <t>tie_y</t>
  </si>
  <si>
    <t>platen_y</t>
  </si>
  <si>
    <t>mold_min</t>
  </si>
  <si>
    <t>daylight_max</t>
  </si>
  <si>
    <t>clamp_force</t>
  </si>
  <si>
    <t>shot_capacity</t>
  </si>
  <si>
    <t xml:space="preserve">utilization </t>
  </si>
  <si>
    <t xml:space="preserve"> shot_weight / shot_capacity</t>
  </si>
  <si>
    <t xml:space="preserve"> "OEM": m["OEM"],</t>
  </si>
  <si>
    <t xml:space="preserve">            "Model": m["Model"],</t>
  </si>
  <si>
    <t xml:space="preserve">            "Clamp (ton)": m["Clamp Force (ton)"],</t>
  </si>
  <si>
    <t xml:space="preserve">            "Platen X (mm)": m["Platen X (mm)"], </t>
  </si>
  <si>
    <t xml:space="preserve">            "Tie Bar Y (mm)": m["Tie Bar Y (mm)"],</t>
  </si>
  <si>
    <t xml:space="preserve">            "Daylight Max (mm)": m["Daylight Max (mm)"], # shown</t>
  </si>
  <si>
    <t xml:space="preserve">            "Shot Weight (g)": m["Shot Weight (g)"],</t>
  </si>
  <si>
    <t xml:space="preserve">            "Screw Size (mm)": m["Screw Size (mm)"],</t>
  </si>
  <si>
    <t xml:space="preserve">            "Status": status,   </t>
  </si>
  <si>
    <t xml:space="preserve">            "Shot Utilization (%)": utilization if utilization else None,</t>
  </si>
  <si>
    <t xml:space="preserve">            "Status": status,</t>
  </si>
  <si>
    <t xml:space="preserve">            "Fail Reason": reason</t>
  </si>
  <si>
    <t>machine_row</t>
  </si>
  <si>
    <t>picked one</t>
  </si>
  <si>
    <t>machine_row["Platen X (mm)"]</t>
  </si>
  <si>
    <t>machine_row["Platen Y (mm)"]</t>
  </si>
  <si>
    <t>machine_row["Daylight Max (mm)"]</t>
  </si>
  <si>
    <t>Machine_row</t>
  </si>
  <si>
    <t>Variable</t>
  </si>
  <si>
    <t>machine_shot</t>
  </si>
  <si>
    <t>best["Shot Weight (g)"]</t>
  </si>
  <si>
    <t>actual_shot</t>
  </si>
  <si>
    <t>Golden Edition</t>
  </si>
  <si>
    <t>Clamp Force (kN)</t>
  </si>
  <si>
    <t>Ejector Stroke (mm)</t>
  </si>
  <si>
    <t>320 C-100</t>
  </si>
  <si>
    <t>320 C-170</t>
  </si>
  <si>
    <t>SHIBAURA</t>
  </si>
  <si>
    <t>ECSXIII</t>
  </si>
  <si>
    <t>EC200SXIII-U48-8Y</t>
  </si>
  <si>
    <t>all-electric</t>
  </si>
  <si>
    <t>YIZUMI's</t>
  </si>
  <si>
    <t>FF300 </t>
  </si>
  <si>
    <t>FF300-IU670</t>
  </si>
  <si>
    <t>ENGEL</t>
  </si>
  <si>
    <t>e-mac</t>
  </si>
  <si>
    <t>e-mac 100</t>
  </si>
  <si>
    <t>Validated spec</t>
  </si>
  <si>
    <t>e-mac 130</t>
  </si>
  <si>
    <t>30-45</t>
  </si>
  <si>
    <t>Tie-bar confirmed</t>
  </si>
  <si>
    <t>e-mac 180</t>
  </si>
  <si>
    <t>35-50</t>
  </si>
  <si>
    <t>Common config</t>
  </si>
  <si>
    <t>e-mac 220</t>
  </si>
  <si>
    <t>40-55</t>
  </si>
  <si>
    <t>Estimated larger class</t>
  </si>
  <si>
    <t>e-mac 500</t>
  </si>
  <si>
    <t>55-80</t>
  </si>
  <si>
    <t>Max class</t>
  </si>
  <si>
    <t>e-mac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</si>
</sst>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pane ySplit="1" topLeftCell="A2" activePane="bottomLeft" state="frozen"/>
      <selection pane="bottomLeft" activeCell="A17" sqref="A17:XFD22"/>
    </sheetView>
  </sheetViews>
  <sheetFormatPr defaultRowHeight="14.4" x14ac:dyDescent="0.3"/>
  <cols>
    <col min="1" max="1" width="11.109375" bestFit="1" customWidth="1"/>
    <col min="2" max="2" width="14.5546875" bestFit="1" customWidth="1"/>
    <col min="3" max="3" width="17.88671875" bestFit="1" customWidth="1"/>
    <col min="4" max="4" width="16.88671875" bestFit="1" customWidth="1"/>
    <col min="5" max="5" width="16.88671875" style="1" customWidth="1"/>
    <col min="6" max="7" width="13.6640625" bestFit="1" customWidth="1"/>
    <col min="8" max="9" width="14" bestFit="1" customWidth="1"/>
    <col min="10" max="10" width="18.109375" bestFit="1" customWidth="1"/>
    <col min="11" max="11" width="15.109375" bestFit="1" customWidth="1"/>
    <col min="12" max="12" width="15.44140625" bestFit="1" customWidth="1"/>
    <col min="13" max="13" width="27" customWidth="1"/>
    <col min="14" max="14" width="17.88671875" bestFit="1" customWidth="1"/>
    <col min="15" max="15" width="13.109375" customWidth="1"/>
    <col min="16" max="16" width="15.6640625" bestFit="1" customWidth="1"/>
    <col min="17" max="17" width="22.6640625" style="1" customWidth="1"/>
    <col min="18" max="18" width="19.33203125" style="1" customWidth="1"/>
    <col min="19" max="19" width="13.44140625" style="1" customWidth="1"/>
    <col min="20" max="20" width="33.44140625" bestFit="1" customWidth="1"/>
  </cols>
  <sheetData>
    <row r="1" spans="1:20" s="7" customFormat="1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74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24</v>
      </c>
      <c r="N1" s="6" t="s">
        <v>12</v>
      </c>
      <c r="O1" s="8" t="s">
        <v>13</v>
      </c>
      <c r="P1" s="6" t="s">
        <v>14</v>
      </c>
      <c r="Q1" s="6" t="s">
        <v>22</v>
      </c>
      <c r="R1" s="6" t="s">
        <v>23</v>
      </c>
      <c r="S1" s="8" t="s">
        <v>75</v>
      </c>
      <c r="T1" s="6" t="s">
        <v>11</v>
      </c>
    </row>
    <row r="2" spans="1:20" s="1" customFormat="1" x14ac:dyDescent="0.3">
      <c r="A2" s="1" t="s">
        <v>15</v>
      </c>
      <c r="B2" s="1" t="s">
        <v>16</v>
      </c>
      <c r="C2" s="2" t="s">
        <v>76</v>
      </c>
      <c r="D2" s="1">
        <v>50</v>
      </c>
      <c r="E2" s="1">
        <f t="shared" ref="E2:E7" si="0">D2*10</f>
        <v>500</v>
      </c>
      <c r="F2" s="1">
        <v>446</v>
      </c>
      <c r="G2" s="1">
        <v>446</v>
      </c>
      <c r="H2" s="1">
        <v>320</v>
      </c>
      <c r="I2" s="1">
        <v>320</v>
      </c>
      <c r="J2" s="1">
        <v>550</v>
      </c>
      <c r="K2" s="1">
        <v>200</v>
      </c>
      <c r="M2" s="1">
        <v>350</v>
      </c>
      <c r="O2" s="1">
        <v>29</v>
      </c>
      <c r="P2" s="1">
        <v>20</v>
      </c>
      <c r="R2" s="1">
        <v>180</v>
      </c>
      <c r="S2" s="1">
        <v>125</v>
      </c>
      <c r="T2" s="1" t="s">
        <v>73</v>
      </c>
    </row>
    <row r="3" spans="1:20" s="1" customFormat="1" x14ac:dyDescent="0.3">
      <c r="A3" s="1" t="s">
        <v>15</v>
      </c>
      <c r="B3" s="1" t="s">
        <v>16</v>
      </c>
      <c r="C3" s="2" t="s">
        <v>76</v>
      </c>
      <c r="D3" s="1">
        <v>50</v>
      </c>
      <c r="E3" s="1">
        <f t="shared" si="0"/>
        <v>500</v>
      </c>
      <c r="F3" s="1">
        <v>446</v>
      </c>
      <c r="G3" s="1">
        <v>446</v>
      </c>
      <c r="H3" s="1">
        <v>320</v>
      </c>
      <c r="I3" s="1">
        <v>320</v>
      </c>
      <c r="J3" s="1">
        <v>550</v>
      </c>
      <c r="K3" s="1">
        <v>200</v>
      </c>
      <c r="M3" s="1">
        <v>350</v>
      </c>
      <c r="O3" s="9">
        <v>45</v>
      </c>
      <c r="P3" s="9">
        <v>25</v>
      </c>
      <c r="R3" s="1">
        <v>180</v>
      </c>
      <c r="S3" s="1">
        <v>125</v>
      </c>
      <c r="T3" s="1" t="s">
        <v>73</v>
      </c>
    </row>
    <row r="4" spans="1:20" s="1" customFormat="1" x14ac:dyDescent="0.3">
      <c r="A4" s="1" t="s">
        <v>15</v>
      </c>
      <c r="B4" s="1" t="s">
        <v>16</v>
      </c>
      <c r="C4" s="2" t="s">
        <v>76</v>
      </c>
      <c r="D4" s="1">
        <v>50</v>
      </c>
      <c r="E4" s="1">
        <f t="shared" si="0"/>
        <v>500</v>
      </c>
      <c r="F4" s="1">
        <v>446</v>
      </c>
      <c r="G4" s="1">
        <v>446</v>
      </c>
      <c r="H4" s="1">
        <v>320</v>
      </c>
      <c r="I4" s="1">
        <v>320</v>
      </c>
      <c r="J4" s="1">
        <v>550</v>
      </c>
      <c r="K4" s="1">
        <v>200</v>
      </c>
      <c r="M4" s="1">
        <v>350</v>
      </c>
      <c r="O4" s="9">
        <v>65</v>
      </c>
      <c r="P4" s="9">
        <v>30</v>
      </c>
      <c r="R4" s="1">
        <v>180</v>
      </c>
      <c r="S4" s="1">
        <v>125</v>
      </c>
      <c r="T4" s="1" t="s">
        <v>73</v>
      </c>
    </row>
    <row r="5" spans="1:20" s="1" customFormat="1" x14ac:dyDescent="0.3">
      <c r="A5" s="1" t="s">
        <v>15</v>
      </c>
      <c r="B5" s="1" t="s">
        <v>16</v>
      </c>
      <c r="C5" s="2" t="s">
        <v>77</v>
      </c>
      <c r="D5" s="1">
        <v>50</v>
      </c>
      <c r="E5" s="1">
        <f t="shared" si="0"/>
        <v>500</v>
      </c>
      <c r="F5" s="1">
        <v>446</v>
      </c>
      <c r="G5" s="1">
        <v>446</v>
      </c>
      <c r="H5" s="1">
        <v>320</v>
      </c>
      <c r="I5" s="1">
        <v>320</v>
      </c>
      <c r="J5" s="1">
        <v>550</v>
      </c>
      <c r="K5" s="1">
        <v>200</v>
      </c>
      <c r="M5" s="1">
        <v>350</v>
      </c>
      <c r="O5" s="9">
        <v>54</v>
      </c>
      <c r="P5" s="9">
        <v>25</v>
      </c>
      <c r="R5" s="1">
        <v>180</v>
      </c>
      <c r="S5" s="1">
        <v>125</v>
      </c>
      <c r="T5" s="1" t="s">
        <v>73</v>
      </c>
    </row>
    <row r="6" spans="1:20" s="1" customFormat="1" x14ac:dyDescent="0.3">
      <c r="A6" s="1" t="s">
        <v>15</v>
      </c>
      <c r="B6" s="1" t="s">
        <v>16</v>
      </c>
      <c r="C6" s="2" t="s">
        <v>77</v>
      </c>
      <c r="D6" s="1">
        <v>50</v>
      </c>
      <c r="E6" s="1">
        <f t="shared" si="0"/>
        <v>500</v>
      </c>
      <c r="F6" s="1">
        <v>446</v>
      </c>
      <c r="G6" s="1">
        <v>446</v>
      </c>
      <c r="H6" s="1">
        <v>320</v>
      </c>
      <c r="I6" s="1">
        <v>320</v>
      </c>
      <c r="J6" s="1">
        <v>550</v>
      </c>
      <c r="K6" s="1">
        <v>200</v>
      </c>
      <c r="M6" s="1">
        <v>350</v>
      </c>
      <c r="O6" s="9">
        <v>77</v>
      </c>
      <c r="P6" s="9">
        <v>30</v>
      </c>
      <c r="R6" s="1">
        <v>180</v>
      </c>
      <c r="S6" s="1">
        <v>125</v>
      </c>
      <c r="T6" s="1" t="s">
        <v>73</v>
      </c>
    </row>
    <row r="7" spans="1:20" s="1" customFormat="1" x14ac:dyDescent="0.3">
      <c r="A7" s="1" t="s">
        <v>15</v>
      </c>
      <c r="B7" s="1" t="s">
        <v>16</v>
      </c>
      <c r="C7" s="2" t="s">
        <v>77</v>
      </c>
      <c r="D7" s="1">
        <v>50</v>
      </c>
      <c r="E7" s="1">
        <f t="shared" si="0"/>
        <v>500</v>
      </c>
      <c r="F7" s="1">
        <v>446</v>
      </c>
      <c r="G7" s="1">
        <v>446</v>
      </c>
      <c r="H7" s="1">
        <v>320</v>
      </c>
      <c r="I7" s="1">
        <v>320</v>
      </c>
      <c r="J7" s="1">
        <v>550</v>
      </c>
      <c r="K7" s="1">
        <v>200</v>
      </c>
      <c r="M7" s="1">
        <v>350</v>
      </c>
      <c r="O7" s="9">
        <v>105</v>
      </c>
      <c r="P7" s="9">
        <v>35</v>
      </c>
      <c r="R7" s="1">
        <v>180</v>
      </c>
      <c r="S7" s="1">
        <v>125</v>
      </c>
      <c r="T7" s="1" t="s">
        <v>73</v>
      </c>
    </row>
    <row r="8" spans="1:20" x14ac:dyDescent="0.3">
      <c r="A8" t="s">
        <v>17</v>
      </c>
      <c r="B8" t="s">
        <v>18</v>
      </c>
      <c r="C8" s="2" t="s">
        <v>20</v>
      </c>
      <c r="D8">
        <v>85</v>
      </c>
      <c r="E8" s="1">
        <f t="shared" ref="E8:E14" si="1">D8*10</f>
        <v>850</v>
      </c>
      <c r="F8">
        <v>650</v>
      </c>
      <c r="G8">
        <v>621</v>
      </c>
      <c r="H8">
        <v>410</v>
      </c>
      <c r="I8">
        <v>410</v>
      </c>
      <c r="J8">
        <v>650</v>
      </c>
      <c r="K8" s="1">
        <v>200</v>
      </c>
      <c r="L8" s="1">
        <v>500</v>
      </c>
      <c r="M8" s="1">
        <v>350</v>
      </c>
      <c r="N8">
        <v>200</v>
      </c>
      <c r="O8">
        <v>19</v>
      </c>
      <c r="P8">
        <v>16</v>
      </c>
      <c r="Q8" s="1">
        <v>1174</v>
      </c>
      <c r="R8" s="1">
        <v>704</v>
      </c>
      <c r="T8" t="s">
        <v>19</v>
      </c>
    </row>
    <row r="9" spans="1:20" s="1" customFormat="1" x14ac:dyDescent="0.3">
      <c r="A9" s="1" t="s">
        <v>17</v>
      </c>
      <c r="B9" s="1" t="s">
        <v>18</v>
      </c>
      <c r="C9" s="2" t="s">
        <v>20</v>
      </c>
      <c r="D9" s="1">
        <v>85</v>
      </c>
      <c r="E9" s="1">
        <f t="shared" si="1"/>
        <v>850</v>
      </c>
      <c r="F9" s="1">
        <v>650</v>
      </c>
      <c r="G9" s="1">
        <v>621</v>
      </c>
      <c r="H9" s="1">
        <v>410</v>
      </c>
      <c r="I9" s="1">
        <v>410</v>
      </c>
      <c r="J9" s="1">
        <v>650</v>
      </c>
      <c r="K9" s="1">
        <v>200</v>
      </c>
      <c r="L9" s="1">
        <v>500</v>
      </c>
      <c r="M9" s="1">
        <v>350</v>
      </c>
      <c r="N9" s="1">
        <v>200</v>
      </c>
      <c r="O9" s="1">
        <v>24</v>
      </c>
      <c r="P9" s="1">
        <v>18</v>
      </c>
      <c r="Q9" s="1">
        <v>1174</v>
      </c>
      <c r="R9" s="1">
        <v>704</v>
      </c>
      <c r="T9" s="1" t="s">
        <v>19</v>
      </c>
    </row>
    <row r="10" spans="1:20" s="1" customFormat="1" x14ac:dyDescent="0.3">
      <c r="A10" s="1" t="s">
        <v>17</v>
      </c>
      <c r="B10" s="1" t="s">
        <v>18</v>
      </c>
      <c r="C10" s="2" t="s">
        <v>20</v>
      </c>
      <c r="D10" s="1">
        <v>85</v>
      </c>
      <c r="E10" s="1">
        <f t="shared" si="1"/>
        <v>850</v>
      </c>
      <c r="F10" s="1">
        <v>650</v>
      </c>
      <c r="G10" s="1">
        <v>621</v>
      </c>
      <c r="H10" s="1">
        <v>410</v>
      </c>
      <c r="I10" s="1">
        <v>410</v>
      </c>
      <c r="J10" s="1">
        <v>650</v>
      </c>
      <c r="K10" s="1">
        <v>200</v>
      </c>
      <c r="L10" s="1">
        <v>500</v>
      </c>
      <c r="M10" s="1">
        <v>350</v>
      </c>
      <c r="N10" s="1">
        <v>200</v>
      </c>
      <c r="O10" s="1">
        <v>30</v>
      </c>
      <c r="P10" s="1">
        <v>20</v>
      </c>
      <c r="Q10" s="1">
        <v>1174</v>
      </c>
      <c r="R10" s="1">
        <v>704</v>
      </c>
      <c r="T10" s="1" t="s">
        <v>19</v>
      </c>
    </row>
    <row r="11" spans="1:20" x14ac:dyDescent="0.3">
      <c r="A11" t="s">
        <v>17</v>
      </c>
      <c r="B11" t="s">
        <v>18</v>
      </c>
      <c r="C11" s="2" t="s">
        <v>20</v>
      </c>
      <c r="D11">
        <v>85</v>
      </c>
      <c r="E11" s="1">
        <f t="shared" si="1"/>
        <v>850</v>
      </c>
      <c r="F11">
        <v>650</v>
      </c>
      <c r="G11">
        <v>621</v>
      </c>
      <c r="H11">
        <v>410</v>
      </c>
      <c r="I11" s="1">
        <v>410</v>
      </c>
      <c r="J11">
        <v>650</v>
      </c>
      <c r="K11">
        <v>200</v>
      </c>
      <c r="L11">
        <v>500</v>
      </c>
      <c r="M11">
        <v>350</v>
      </c>
      <c r="N11">
        <v>200</v>
      </c>
      <c r="O11">
        <v>47</v>
      </c>
      <c r="P11">
        <v>25</v>
      </c>
      <c r="Q11" s="1">
        <v>1174</v>
      </c>
      <c r="R11" s="1">
        <v>704</v>
      </c>
      <c r="T11" t="s">
        <v>19</v>
      </c>
    </row>
    <row r="12" spans="1:20" s="1" customFormat="1" x14ac:dyDescent="0.3">
      <c r="A12" s="1" t="s">
        <v>17</v>
      </c>
      <c r="B12" s="1" t="s">
        <v>18</v>
      </c>
      <c r="C12" s="2" t="s">
        <v>21</v>
      </c>
      <c r="D12" s="1">
        <v>85</v>
      </c>
      <c r="E12" s="1">
        <f t="shared" si="1"/>
        <v>850</v>
      </c>
      <c r="F12" s="1">
        <v>650</v>
      </c>
      <c r="G12" s="1">
        <v>621</v>
      </c>
      <c r="H12" s="1">
        <v>410</v>
      </c>
      <c r="I12" s="1">
        <v>410</v>
      </c>
      <c r="J12" s="1">
        <v>650</v>
      </c>
      <c r="K12" s="1">
        <v>400</v>
      </c>
      <c r="L12" s="1">
        <v>700</v>
      </c>
      <c r="M12" s="1">
        <v>350</v>
      </c>
      <c r="N12" s="1">
        <v>200</v>
      </c>
      <c r="O12" s="1">
        <v>85</v>
      </c>
      <c r="P12" s="1">
        <v>33</v>
      </c>
      <c r="Q12" s="1">
        <v>1174</v>
      </c>
      <c r="R12" s="1">
        <v>704</v>
      </c>
      <c r="T12" s="1" t="s">
        <v>19</v>
      </c>
    </row>
    <row r="13" spans="1:20" s="1" customFormat="1" x14ac:dyDescent="0.3">
      <c r="A13" s="1" t="s">
        <v>17</v>
      </c>
      <c r="B13" s="1" t="s">
        <v>18</v>
      </c>
      <c r="C13" s="2" t="s">
        <v>21</v>
      </c>
      <c r="D13" s="1">
        <v>85</v>
      </c>
      <c r="E13" s="1">
        <f t="shared" si="1"/>
        <v>850</v>
      </c>
      <c r="F13" s="1">
        <v>650</v>
      </c>
      <c r="G13" s="1">
        <v>621</v>
      </c>
      <c r="H13" s="1">
        <v>410</v>
      </c>
      <c r="I13" s="1">
        <v>410</v>
      </c>
      <c r="J13" s="1">
        <v>650</v>
      </c>
      <c r="K13" s="1">
        <v>400</v>
      </c>
      <c r="L13" s="1">
        <v>700</v>
      </c>
      <c r="M13" s="1">
        <v>350</v>
      </c>
      <c r="N13" s="1">
        <v>200</v>
      </c>
      <c r="O13" s="1">
        <v>113</v>
      </c>
      <c r="P13" s="1">
        <v>36</v>
      </c>
      <c r="Q13" s="1">
        <v>1174</v>
      </c>
      <c r="R13" s="1">
        <v>704</v>
      </c>
      <c r="T13" s="1" t="s">
        <v>19</v>
      </c>
    </row>
    <row r="14" spans="1:20" x14ac:dyDescent="0.3">
      <c r="A14" t="s">
        <v>17</v>
      </c>
      <c r="B14" t="s">
        <v>18</v>
      </c>
      <c r="C14" s="2" t="s">
        <v>21</v>
      </c>
      <c r="D14">
        <v>85</v>
      </c>
      <c r="E14" s="1">
        <f t="shared" si="1"/>
        <v>850</v>
      </c>
      <c r="F14">
        <v>650</v>
      </c>
      <c r="G14">
        <v>621</v>
      </c>
      <c r="H14">
        <v>410</v>
      </c>
      <c r="I14">
        <v>410</v>
      </c>
      <c r="J14">
        <v>650</v>
      </c>
      <c r="K14">
        <v>400</v>
      </c>
      <c r="L14">
        <v>700</v>
      </c>
      <c r="M14">
        <v>350</v>
      </c>
      <c r="N14">
        <v>200</v>
      </c>
      <c r="O14" s="1">
        <v>154</v>
      </c>
      <c r="P14">
        <v>40</v>
      </c>
      <c r="Q14" s="1">
        <v>1174</v>
      </c>
      <c r="R14" s="1">
        <v>704</v>
      </c>
      <c r="T14" t="s">
        <v>19</v>
      </c>
    </row>
    <row r="15" spans="1:20" x14ac:dyDescent="0.3">
      <c r="A15" s="1" t="s">
        <v>78</v>
      </c>
      <c r="B15" s="1" t="s">
        <v>79</v>
      </c>
      <c r="C15" s="2" t="s">
        <v>80</v>
      </c>
      <c r="D15">
        <v>198</v>
      </c>
      <c r="E15" s="1">
        <f t="shared" ref="E15" si="2">D15*10</f>
        <v>1980</v>
      </c>
      <c r="F15">
        <v>790</v>
      </c>
      <c r="G15">
        <v>740</v>
      </c>
      <c r="H15">
        <v>560</v>
      </c>
      <c r="I15">
        <v>510</v>
      </c>
      <c r="J15">
        <v>1050</v>
      </c>
      <c r="K15">
        <v>200</v>
      </c>
      <c r="L15">
        <v>600</v>
      </c>
      <c r="M15">
        <v>450</v>
      </c>
      <c r="O15">
        <v>292</v>
      </c>
      <c r="P15">
        <v>45</v>
      </c>
      <c r="S15" s="1">
        <v>130</v>
      </c>
      <c r="T15" t="s">
        <v>81</v>
      </c>
    </row>
    <row r="16" spans="1:20" x14ac:dyDescent="0.3">
      <c r="A16" t="s">
        <v>82</v>
      </c>
      <c r="B16" t="s">
        <v>83</v>
      </c>
      <c r="C16" s="2" t="s">
        <v>84</v>
      </c>
      <c r="D16">
        <v>300</v>
      </c>
      <c r="E16" s="1">
        <v>3000</v>
      </c>
      <c r="F16">
        <v>970</v>
      </c>
      <c r="G16">
        <v>970</v>
      </c>
      <c r="H16">
        <v>720</v>
      </c>
      <c r="I16" s="1">
        <v>720</v>
      </c>
      <c r="J16">
        <v>900</v>
      </c>
      <c r="K16">
        <v>250</v>
      </c>
      <c r="L16">
        <v>650</v>
      </c>
      <c r="M16">
        <v>610</v>
      </c>
      <c r="O16">
        <v>341</v>
      </c>
      <c r="P16">
        <v>48</v>
      </c>
      <c r="S16" s="1">
        <v>150</v>
      </c>
    </row>
    <row r="17" spans="1:20" s="1" customFormat="1" x14ac:dyDescent="0.3">
      <c r="A17" s="1" t="s">
        <v>85</v>
      </c>
      <c r="B17" s="1" t="s">
        <v>86</v>
      </c>
      <c r="C17" s="1" t="s">
        <v>87</v>
      </c>
      <c r="D17" s="1">
        <v>100</v>
      </c>
      <c r="E17" s="1">
        <f t="shared" ref="E17:E22" si="3">D17*10</f>
        <v>1000</v>
      </c>
      <c r="F17" s="1">
        <v>650</v>
      </c>
      <c r="G17" s="1">
        <v>600</v>
      </c>
      <c r="H17" s="1">
        <v>460</v>
      </c>
      <c r="I17" s="1">
        <v>410</v>
      </c>
      <c r="J17" s="1">
        <v>800</v>
      </c>
      <c r="K17" s="1">
        <v>150</v>
      </c>
      <c r="L17" s="1">
        <v>450</v>
      </c>
      <c r="M17" s="1">
        <v>350</v>
      </c>
      <c r="N17" s="1">
        <v>150</v>
      </c>
      <c r="O17" s="1">
        <v>202</v>
      </c>
      <c r="P17" s="1">
        <v>40</v>
      </c>
      <c r="T17" s="1" t="s">
        <v>88</v>
      </c>
    </row>
    <row r="18" spans="1:20" s="1" customFormat="1" x14ac:dyDescent="0.3">
      <c r="A18" s="1" t="s">
        <v>85</v>
      </c>
      <c r="B18" s="1" t="s">
        <v>86</v>
      </c>
      <c r="C18" s="1" t="s">
        <v>89</v>
      </c>
      <c r="D18" s="1">
        <v>130</v>
      </c>
      <c r="E18" s="1">
        <f t="shared" si="3"/>
        <v>1300</v>
      </c>
      <c r="H18" s="1">
        <v>530</v>
      </c>
      <c r="I18" s="1">
        <v>530</v>
      </c>
      <c r="K18" s="1">
        <v>150</v>
      </c>
      <c r="M18" s="1">
        <v>400</v>
      </c>
      <c r="N18" s="1">
        <v>150</v>
      </c>
      <c r="O18" s="1">
        <v>250</v>
      </c>
      <c r="P18" s="1" t="s">
        <v>90</v>
      </c>
      <c r="T18" s="1" t="s">
        <v>91</v>
      </c>
    </row>
    <row r="19" spans="1:20" s="1" customFormat="1" x14ac:dyDescent="0.3">
      <c r="A19" s="1" t="s">
        <v>85</v>
      </c>
      <c r="B19" s="1" t="s">
        <v>86</v>
      </c>
      <c r="C19" s="1" t="s">
        <v>92</v>
      </c>
      <c r="D19" s="1">
        <v>180</v>
      </c>
      <c r="E19" s="1">
        <f t="shared" si="3"/>
        <v>1800</v>
      </c>
      <c r="H19" s="1">
        <v>570</v>
      </c>
      <c r="I19" s="1">
        <v>570</v>
      </c>
      <c r="K19" s="1">
        <v>150</v>
      </c>
      <c r="M19" s="1">
        <v>450</v>
      </c>
      <c r="N19" s="1">
        <v>150</v>
      </c>
      <c r="O19" s="1">
        <v>300</v>
      </c>
      <c r="P19" s="1" t="s">
        <v>93</v>
      </c>
      <c r="T19" s="1" t="s">
        <v>94</v>
      </c>
    </row>
    <row r="20" spans="1:20" s="1" customFormat="1" x14ac:dyDescent="0.3">
      <c r="A20" s="1" t="s">
        <v>85</v>
      </c>
      <c r="B20" s="1" t="s">
        <v>86</v>
      </c>
      <c r="C20" s="1" t="s">
        <v>95</v>
      </c>
      <c r="D20" s="1">
        <v>220</v>
      </c>
      <c r="E20" s="1">
        <f t="shared" si="3"/>
        <v>2200</v>
      </c>
      <c r="H20" s="1">
        <v>650</v>
      </c>
      <c r="I20" s="1">
        <v>650</v>
      </c>
      <c r="K20" s="1">
        <v>150</v>
      </c>
      <c r="M20" s="1">
        <v>500</v>
      </c>
      <c r="N20" s="1">
        <v>150</v>
      </c>
      <c r="O20" s="1">
        <v>350</v>
      </c>
      <c r="P20" s="1" t="s">
        <v>96</v>
      </c>
      <c r="T20" s="1" t="s">
        <v>97</v>
      </c>
    </row>
    <row r="21" spans="1:20" s="1" customFormat="1" x14ac:dyDescent="0.3">
      <c r="A21" s="1" t="s">
        <v>85</v>
      </c>
      <c r="B21" s="1" t="s">
        <v>86</v>
      </c>
      <c r="C21" s="1" t="s">
        <v>98</v>
      </c>
      <c r="D21" s="1">
        <v>500</v>
      </c>
      <c r="E21" s="1">
        <f t="shared" si="3"/>
        <v>5000</v>
      </c>
      <c r="H21" s="1">
        <v>830</v>
      </c>
      <c r="I21" s="1">
        <v>830</v>
      </c>
      <c r="K21" s="1">
        <v>150</v>
      </c>
      <c r="M21" s="1">
        <v>700</v>
      </c>
      <c r="N21" s="1">
        <v>150</v>
      </c>
      <c r="O21" s="1">
        <v>600</v>
      </c>
      <c r="P21" s="1" t="s">
        <v>99</v>
      </c>
      <c r="T21" s="1" t="s">
        <v>100</v>
      </c>
    </row>
    <row r="22" spans="1:20" s="1" customFormat="1" x14ac:dyDescent="0.3">
      <c r="A22" s="1" t="s">
        <v>85</v>
      </c>
      <c r="B22" s="1" t="s">
        <v>86</v>
      </c>
      <c r="C22" s="1" t="s">
        <v>101</v>
      </c>
      <c r="D22" s="1">
        <v>85</v>
      </c>
      <c r="E22" s="1">
        <f t="shared" si="3"/>
        <v>850</v>
      </c>
      <c r="H22" s="1">
        <v>470</v>
      </c>
      <c r="I22" s="1">
        <v>420</v>
      </c>
      <c r="K22" s="1">
        <v>150</v>
      </c>
      <c r="M22" s="1">
        <v>320</v>
      </c>
      <c r="N22" s="1">
        <v>150</v>
      </c>
      <c r="O22" s="1">
        <v>23</v>
      </c>
      <c r="P22" s="1">
        <v>20</v>
      </c>
    </row>
  </sheetData>
  <sortState ref="A2:T15">
    <sortCondition ref="A2:A15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EE4A-7CCF-4455-857B-32193F671A1E}">
  <dimension ref="B1:E59"/>
  <sheetViews>
    <sheetView workbookViewId="0">
      <pane ySplit="1" topLeftCell="A11" activePane="bottomLeft" state="frozen"/>
      <selection pane="bottomLeft" activeCell="K33" sqref="K33"/>
    </sheetView>
  </sheetViews>
  <sheetFormatPr defaultRowHeight="14.4" x14ac:dyDescent="0.3"/>
  <cols>
    <col min="2" max="2" width="17.6640625" style="3" customWidth="1"/>
    <col min="3" max="3" width="13.5546875" customWidth="1"/>
    <col min="4" max="4" width="29.33203125" customWidth="1"/>
    <col min="5" max="5" width="33.5546875" bestFit="1" customWidth="1"/>
  </cols>
  <sheetData>
    <row r="1" spans="2:5" x14ac:dyDescent="0.3">
      <c r="B1" s="4" t="s">
        <v>69</v>
      </c>
      <c r="C1" s="5" t="s">
        <v>32</v>
      </c>
      <c r="D1" s="5" t="s">
        <v>42</v>
      </c>
      <c r="E1" s="4" t="s">
        <v>68</v>
      </c>
    </row>
    <row r="2" spans="2:5" x14ac:dyDescent="0.3">
      <c r="B2" s="3" t="s">
        <v>25</v>
      </c>
      <c r="C2" t="s">
        <v>26</v>
      </c>
    </row>
    <row r="3" spans="2:5" x14ac:dyDescent="0.3">
      <c r="B3" s="3" t="s">
        <v>27</v>
      </c>
      <c r="C3" t="s">
        <v>28</v>
      </c>
    </row>
    <row r="4" spans="2:5" x14ac:dyDescent="0.3">
      <c r="B4" s="3" t="s">
        <v>29</v>
      </c>
      <c r="C4" t="s">
        <v>30</v>
      </c>
    </row>
    <row r="6" spans="2:5" x14ac:dyDescent="0.3">
      <c r="B6" s="3" t="s">
        <v>31</v>
      </c>
      <c r="C6" t="s">
        <v>33</v>
      </c>
    </row>
    <row r="7" spans="2:5" x14ac:dyDescent="0.3">
      <c r="B7" s="3" t="s">
        <v>34</v>
      </c>
      <c r="C7" t="s">
        <v>35</v>
      </c>
    </row>
    <row r="9" spans="2:5" x14ac:dyDescent="0.3">
      <c r="B9" s="3" t="s">
        <v>36</v>
      </c>
      <c r="C9" t="s">
        <v>37</v>
      </c>
    </row>
    <row r="12" spans="2:5" x14ac:dyDescent="0.3">
      <c r="B12" s="3" t="s">
        <v>38</v>
      </c>
      <c r="C12" t="s">
        <v>39</v>
      </c>
    </row>
    <row r="14" spans="2:5" x14ac:dyDescent="0.3">
      <c r="B14" s="3" t="s">
        <v>40</v>
      </c>
    </row>
    <row r="18" spans="2:5" x14ac:dyDescent="0.3">
      <c r="B18" s="3" t="s">
        <v>41</v>
      </c>
      <c r="D18" t="s">
        <v>4</v>
      </c>
      <c r="E18" t="s">
        <v>65</v>
      </c>
    </row>
    <row r="19" spans="2:5" x14ac:dyDescent="0.3">
      <c r="B19" s="3" t="s">
        <v>44</v>
      </c>
      <c r="D19" t="s">
        <v>5</v>
      </c>
      <c r="E19" t="s">
        <v>66</v>
      </c>
    </row>
    <row r="21" spans="2:5" x14ac:dyDescent="0.3">
      <c r="B21" s="3" t="s">
        <v>43</v>
      </c>
      <c r="D21" t="s">
        <v>7</v>
      </c>
    </row>
    <row r="23" spans="2:5" x14ac:dyDescent="0.3">
      <c r="B23" s="3" t="s">
        <v>45</v>
      </c>
      <c r="D23" t="s">
        <v>9</v>
      </c>
    </row>
    <row r="25" spans="2:5" x14ac:dyDescent="0.3">
      <c r="B25" s="3" t="s">
        <v>46</v>
      </c>
      <c r="D25" t="s">
        <v>8</v>
      </c>
      <c r="E25" t="s">
        <v>67</v>
      </c>
    </row>
    <row r="27" spans="2:5" x14ac:dyDescent="0.3">
      <c r="B27" s="3" t="s">
        <v>47</v>
      </c>
      <c r="D27" t="s">
        <v>3</v>
      </c>
    </row>
    <row r="29" spans="2:5" x14ac:dyDescent="0.3">
      <c r="B29" s="3" t="s">
        <v>48</v>
      </c>
      <c r="D29" t="s">
        <v>13</v>
      </c>
    </row>
    <row r="30" spans="2:5" x14ac:dyDescent="0.3">
      <c r="B30" s="3" t="s">
        <v>49</v>
      </c>
      <c r="D30" t="s">
        <v>50</v>
      </c>
    </row>
    <row r="32" spans="2:5" x14ac:dyDescent="0.3">
      <c r="B32" s="3" t="s">
        <v>70</v>
      </c>
      <c r="E32" t="s">
        <v>71</v>
      </c>
    </row>
    <row r="33" spans="2:3" x14ac:dyDescent="0.3">
      <c r="B33" s="3" t="s">
        <v>72</v>
      </c>
      <c r="C33" s="3" t="s">
        <v>36</v>
      </c>
    </row>
    <row r="35" spans="2:3" x14ac:dyDescent="0.3">
      <c r="B35" s="3" t="s">
        <v>63</v>
      </c>
      <c r="C35" t="s">
        <v>64</v>
      </c>
    </row>
    <row r="36" spans="2:3" s="1" customFormat="1" x14ac:dyDescent="0.3">
      <c r="B36" s="3"/>
    </row>
    <row r="37" spans="2:3" s="1" customFormat="1" x14ac:dyDescent="0.3">
      <c r="B37" s="3"/>
    </row>
    <row r="38" spans="2:3" s="1" customFormat="1" x14ac:dyDescent="0.3">
      <c r="B38" s="3"/>
    </row>
    <row r="39" spans="2:3" s="1" customFormat="1" x14ac:dyDescent="0.3">
      <c r="B39" s="3"/>
    </row>
    <row r="40" spans="2:3" s="1" customFormat="1" x14ac:dyDescent="0.3">
      <c r="B40" s="3"/>
    </row>
    <row r="41" spans="2:3" s="1" customFormat="1" x14ac:dyDescent="0.3">
      <c r="B41" s="3"/>
    </row>
    <row r="42" spans="2:3" s="1" customFormat="1" x14ac:dyDescent="0.3">
      <c r="B42" s="3"/>
    </row>
    <row r="43" spans="2:3" s="1" customFormat="1" x14ac:dyDescent="0.3">
      <c r="B43" s="3"/>
    </row>
    <row r="44" spans="2:3" s="1" customFormat="1" x14ac:dyDescent="0.3">
      <c r="B44" s="3"/>
    </row>
    <row r="45" spans="2:3" s="1" customFormat="1" x14ac:dyDescent="0.3">
      <c r="B45" s="3"/>
    </row>
    <row r="46" spans="2:3" s="1" customFormat="1" x14ac:dyDescent="0.3">
      <c r="B46" s="3"/>
    </row>
    <row r="47" spans="2:3" s="1" customFormat="1" x14ac:dyDescent="0.3">
      <c r="B47" s="3"/>
    </row>
    <row r="48" spans="2:3" x14ac:dyDescent="0.3">
      <c r="B48" s="3" t="s">
        <v>51</v>
      </c>
    </row>
    <row r="49" spans="2:2" x14ac:dyDescent="0.3">
      <c r="B49" s="3" t="s">
        <v>52</v>
      </c>
    </row>
    <row r="50" spans="2:2" x14ac:dyDescent="0.3">
      <c r="B50" s="3" t="s">
        <v>53</v>
      </c>
    </row>
    <row r="51" spans="2:2" x14ac:dyDescent="0.3">
      <c r="B51" s="3" t="s">
        <v>54</v>
      </c>
    </row>
    <row r="52" spans="2:2" x14ac:dyDescent="0.3">
      <c r="B52" s="3" t="s">
        <v>55</v>
      </c>
    </row>
    <row r="53" spans="2:2" x14ac:dyDescent="0.3">
      <c r="B53" s="3" t="s">
        <v>56</v>
      </c>
    </row>
    <row r="54" spans="2:2" x14ac:dyDescent="0.3">
      <c r="B54" s="3" t="s">
        <v>57</v>
      </c>
    </row>
    <row r="55" spans="2:2" x14ac:dyDescent="0.3">
      <c r="B55" s="3" t="s">
        <v>58</v>
      </c>
    </row>
    <row r="56" spans="2:2" x14ac:dyDescent="0.3">
      <c r="B56" s="3" t="s">
        <v>59</v>
      </c>
    </row>
    <row r="57" spans="2:2" x14ac:dyDescent="0.3">
      <c r="B57" s="3" t="s">
        <v>60</v>
      </c>
    </row>
    <row r="58" spans="2:2" x14ac:dyDescent="0.3">
      <c r="B58" s="3" t="s">
        <v>61</v>
      </c>
    </row>
    <row r="59" spans="2:2" x14ac:dyDescent="0.3">
      <c r="B59" s="3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Eric</dc:creator>
  <cp:lastModifiedBy>Yue Huang</cp:lastModifiedBy>
  <dcterms:created xsi:type="dcterms:W3CDTF">2026-06-03T15:51:50Z</dcterms:created>
  <dcterms:modified xsi:type="dcterms:W3CDTF">2026-06-17T02:08:11Z</dcterms:modified>
</cp:coreProperties>
</file>