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3F9C45FF-4F7A-4164-B3A7-A614C8C7E66F}" xr6:coauthVersionLast="47" xr6:coauthVersionMax="47" xr10:uidLastSave="{00000000-0000-0000-0000-000000000000}"/>
  <bookViews>
    <workbookView xWindow="20052" yWindow="-288" windowWidth="20376" windowHeight="1209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E175" i="1" l="1"/>
  <c r="E174" i="1"/>
  <c r="E193" i="1"/>
  <c r="E172" i="1"/>
  <c r="E173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53" i="1"/>
  <c r="E154" i="1"/>
  <c r="E155" i="1"/>
  <c r="E156" i="1"/>
  <c r="E157" i="1"/>
  <c r="E158" i="1"/>
  <c r="E159" i="1"/>
  <c r="E160" i="1"/>
  <c r="E162" i="1"/>
  <c r="E163" i="1"/>
  <c r="E164" i="1"/>
  <c r="E165" i="1"/>
  <c r="E166" i="1"/>
  <c r="E167" i="1"/>
  <c r="E168" i="1"/>
  <c r="E169" i="1"/>
  <c r="E170" i="1"/>
  <c r="E171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28" i="1"/>
  <c r="E29" i="1"/>
  <c r="E30" i="1"/>
  <c r="E31" i="1"/>
  <c r="E32" i="1"/>
  <c r="E33" i="1"/>
  <c r="E37" i="1"/>
  <c r="E38" i="1"/>
  <c r="E39" i="1"/>
</calcChain>
</file>

<file path=xl/sharedStrings.xml><?xml version="1.0" encoding="utf-8"?>
<sst xmlns="http://schemas.openxmlformats.org/spreadsheetml/2006/main" count="1128" uniqueCount="470">
  <si>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</si>
  <si>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</si>
  <si>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</si>
  <si>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</si>
  <si>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</si>
  <si>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</si>
  <si>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</si>
  <si>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</si>
  <si>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</si>
  <si>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</si>
  <si>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</si>
  <si>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</si>
  <si>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</si>
  <si>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</si>
  <si>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</si>
  <si>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</si>
  <si>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</si>
  <si>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</si>
  <si>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</si>
  <si>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</si>
  <si>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</si>
  <si>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</si>
  <si>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</si>
  <si>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</si>
  <si>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</si>
  <si>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</si>
  <si>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</si>
  <si>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</si>
  <si>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</si>
  <si>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</si>
  <si>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</si>
  <si>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</si>
  <si>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</si>
  <si>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</si>
  <si>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</si>
  <si>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</si>
  <si>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</si>
  <si>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</si>
  <si>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</si>
  <si>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</si>
  <si>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</si>
  <si>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</si>
  <si>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</si>
  <si>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</si>
  <si>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</si>
  <si>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</si>
  <si>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</si>
  <si>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</si>
  <si>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</si>
  <si>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</si>
  <si>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</si>
  <si>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</si>
  <si>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</si>
  <si>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</si>
  <si>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</si>
  <si>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</si>
  <si>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</si>
  <si>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</si>
  <si>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</si>
  <si>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</si>
  <si>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</si>
  <si>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</si>
  <si>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</si>
  <si>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</si>
  <si>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</si>
  <si>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</si>
  <si>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</si>
  <si>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</si>
  <si>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</si>
  <si>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</si>
  <si>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</si>
  <si>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</si>
  <si>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</si>
  <si>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</si>
  <si>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</si>
  <si>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</si>
  <si>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</si>
  <si>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</si>
  <si>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</si>
  <si>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</si>
  <si>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</si>
  <si>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</si>
  <si>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</si>
  <si>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</si>
  <si>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</si>
  <si>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</si>
  <si>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</si>
  <si>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</si>
  <si>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</si>
  <si>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</si>
  <si>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</si>
  <si>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</si>
  <si>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</si>
  <si>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</si>
  <si>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</si>
  <si>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</si>
  <si>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</si>
  <si>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</si>
  <si>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</si>
  <si>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</si>
  <si>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</si>
  <si>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</si>
  <si>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</si>
  <si>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</si>
  <si>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</si>
  <si>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</si>
  <si>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</si>
  <si>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</si>
  <si>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</si>
  <si>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</si>
  <si>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</si>
  <si>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</si>
  <si>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</si>
  <si>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</si>
  <si>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</si>
  <si>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</si>
  <si>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</si>
  <si>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</si>
  <si>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</si>
  <si>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</si>
  <si>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</si>
  <si>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</si>
  <si>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</si>
  <si>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</si>
  <si>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</si>
  <si>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</si>
  <si>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</si>
  <si>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</si>
  <si>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</si>
  <si>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</si>
  <si>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</si>
  <si>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</si>
  <si>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</si>
  <si>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</si>
  <si>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</si>
  <si>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</si>
  <si>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</si>
  <si>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</si>
  <si>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</si>
  <si>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</si>
  <si>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</si>
  <si>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</si>
  <si>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</si>
  <si>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</si>
  <si>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</si>
  <si>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</si>
  <si>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</si>
  <si>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</si>
  <si>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</si>
  <si>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</si>
  <si>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</si>
  <si>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</si>
  <si>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</si>
  <si>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</si>
  <si>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</si>
  <si>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</si>
  <si>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</si>
  <si>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</si>
  <si>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</si>
  <si>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</si>
  <si>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</si>
  <si>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</si>
  <si>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</si>
  <si>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</si>
  <si>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</si>
  <si>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</si>
  <si>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</si>
  <si>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</si>
  <si>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</si>
  <si>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</si>
  <si>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</si>
  <si>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</si>
  <si>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</si>
  <si>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</si>
  <si>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</si>
  <si>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</si>
  <si>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</si>
  <si>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</si>
  <si>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</si>
  <si>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</si>
  <si>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</si>
  <si>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</si>
  <si>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</si>
  <si>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</si>
  <si>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</si>
  <si>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</si>
  <si>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</si>
  <si>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</si>
  <si>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</si>
  <si>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</si>
  <si>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</si>
  <si>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</si>
  <si>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</si>
  <si>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</si>
  <si>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</si>
  <si>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</si>
  <si>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</si>
  <si>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</si>
  <si>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</si>
  <si>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</si>
  <si>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</si>
  <si>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</si>
  <si>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</si>
  <si>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</si>
  <si>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</si>
  <si>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</si>
  <si>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</si>
  <si>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</si>
  <si>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</si>
  <si>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</si>
  <si>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</si>
  <si>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</si>
  <si>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</si>
  <si>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</si>
  <si>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</si>
  <si>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</si>
  <si>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</si>
  <si>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</si>
  <si>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</si>
  <si>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</si>
  <si>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</si>
  <si>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</si>
  <si>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</si>
  <si>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</si>
  <si>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</si>
  <si>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</si>
  <si>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</si>
  <si>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</si>
  <si>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</si>
  <si>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</si>
  <si>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</si>
  <si>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</si>
  <si>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</si>
  <si>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</si>
  <si>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</si>
  <si>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</si>
  <si>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</si>
  <si>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</si>
  <si>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</si>
  <si>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</si>
  <si>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</si>
  <si>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</si>
  <si>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</si>
  <si>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</si>
  <si>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</si>
  <si>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</si>
  <si>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</si>
  <si>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</si>
  <si>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</si>
  <si>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</si>
  <si>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</si>
  <si>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</si>
  <si>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</si>
  <si>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</si>
  <si>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</si>
  <si>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</si>
  <si>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</si>
  <si>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</si>
  <si>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</si>
  <si>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</si>
  <si>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</si>
  <si>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</si>
  <si>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</si>
  <si>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</si>
  <si>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</si>
  <si>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</si>
  <si>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</si>
  <si>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</si>
  <si>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</si>
  <si>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</si>
  <si>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</si>
  <si>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</si>
  <si>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</si>
  <si>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</si>
  <si>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</si>
  <si>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</si>
  <si>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</si>
  <si>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</si>
  <si>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</si>
  <si>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</si>
  <si>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</si>
  <si>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</si>
  <si>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</si>
  <si>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</si>
  <si>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</si>
  <si>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</si>
  <si>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</si>
  <si>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</si>
  <si>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</si>
  <si>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</si>
  <si>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</si>
  <si>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</si>
  <si>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</si>
  <si>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</si>
  <si>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</si>
  <si>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</si>
  <si>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</si>
  <si>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</si>
  <si>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</si>
  <si>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</si>
  <si>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</si>
  <si>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</si>
  <si>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</si>
  <si>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</si>
  <si>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</si>
  <si>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</si>
  <si>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</si>
  <si>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</si>
  <si>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</si>
  <si>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</si>
  <si>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</si>
  <si>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</si>
  <si>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</si>
  <si>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</si>
  <si>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</si>
  <si>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</si>
  <si>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</si>
  <si>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</si>
  <si>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</si>
  <si>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</si>
  <si>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</si>
  <si>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</si>
  <si>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</si>
  <si>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</si>
  <si>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</si>
  <si>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</si>
  <si>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</si>
  <si>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</si>
  <si>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</si>
  <si>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</si>
  <si>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</si>
  <si>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</si>
  <si>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</si>
  <si>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</si>
  <si>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</si>
  <si>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</si>
  <si>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</si>
  <si>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</si>
  <si>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</si>
  <si>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</si>
  <si>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</si>
  <si>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</si>
  <si>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</si>
  <si>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</si>
  <si>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</si>
  <si>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</si>
  <si>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</si>
  <si>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</si>
  <si>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</si>
  <si>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</si>
  <si>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</si>
  <si>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</si>
  <si>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</si>
  <si>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</si>
  <si>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EC30SXII</t>
  </si>
  <si>
    <t>EC250SXIII-U48-8Y</t>
  </si>
  <si>
    <t>EC200SXIII-U48-8Y</t>
  </si>
  <si>
    <t>all-electric</t>
  </si>
  <si>
    <t>YIZUMI's</t>
  </si>
  <si>
    <t>FF300 </t>
  </si>
  <si>
    <t>FF300-IU670</t>
  </si>
  <si>
    <t>SE-EV-S</t>
  </si>
  <si>
    <t>SE50EV-S</t>
  </si>
  <si>
    <t>SE-EV-S-HD</t>
  </si>
  <si>
    <t>Locating Hole Diameter (mm)</t>
  </si>
  <si>
    <t>SE-450EV-C2200</t>
  </si>
  <si>
    <t>SE-450EV-C3000</t>
  </si>
  <si>
    <t>270 S 250-70-18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</si>
  <si>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</si>
  <si>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</si>
  <si>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</si>
  <si>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</si>
  <si>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</si>
  <si>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</si>
  <si>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</si>
  <si>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</si>
  <si>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350-100-25</t>
  </si>
  <si>
    <t>270 S 350-170-25</t>
  </si>
  <si>
    <t>270 S 400-170-35</t>
  </si>
  <si>
    <t>270 S 350-170-35</t>
  </si>
  <si>
    <t>270 S 350-170-30</t>
  </si>
  <si>
    <t>270 S 350-100-30</t>
  </si>
  <si>
    <t>270 S 350-100-20</t>
  </si>
  <si>
    <t>270 S 400-70-18</t>
  </si>
  <si>
    <t>270 S 400-70-22</t>
  </si>
  <si>
    <t>270 S 400-70-25</t>
  </si>
  <si>
    <t>270 S 400-100-20</t>
  </si>
  <si>
    <t>270 S 400-100-25</t>
  </si>
  <si>
    <t>270 S 400-100-30</t>
  </si>
  <si>
    <t>270 S 400-170-30</t>
  </si>
  <si>
    <t>270 S 400-170-25</t>
  </si>
  <si>
    <t>Whitman</t>
  </si>
  <si>
    <t>Synthetic Spec</t>
  </si>
  <si>
    <t>Whitman-50T</t>
  </si>
  <si>
    <t>Synthetic realistic engineering estimate</t>
  </si>
  <si>
    <t>Whitman-80T</t>
  </si>
  <si>
    <t>Whitman-110T</t>
  </si>
  <si>
    <t>Whitman-140T</t>
  </si>
  <si>
    <t>Whitman-180T</t>
  </si>
  <si>
    <t>Whitman-220T</t>
  </si>
  <si>
    <t>Whitman-300T</t>
  </si>
  <si>
    <t>Whitman-400T</t>
  </si>
  <si>
    <t>Whitman-500T</t>
  </si>
  <si>
    <t>Whitman-650T</t>
  </si>
  <si>
    <t>Husky</t>
  </si>
  <si>
    <t>Husky-120T</t>
  </si>
  <si>
    <t>Husky-180T</t>
  </si>
  <si>
    <t>Husky-250T</t>
  </si>
  <si>
    <t>Husky-300T</t>
  </si>
  <si>
    <t>Husky-400T</t>
  </si>
  <si>
    <t>Husky-500T</t>
  </si>
  <si>
    <t>Husky-650T</t>
  </si>
  <si>
    <t>Husky-800T</t>
  </si>
  <si>
    <t>Husky-1000T</t>
  </si>
  <si>
    <t>Husky-1200T</t>
  </si>
  <si>
    <t>Fanuc</t>
  </si>
  <si>
    <t>Fanuc-15T</t>
  </si>
  <si>
    <t>Fanuc-30T</t>
  </si>
  <si>
    <t>Fanuc-50T</t>
  </si>
  <si>
    <t>Fanuc-100T</t>
  </si>
  <si>
    <t>Fanuc-130T</t>
  </si>
  <si>
    <t>Fanuc-150T</t>
  </si>
  <si>
    <t>Fanuc-220T</t>
  </si>
  <si>
    <t>Fanuc-300T</t>
  </si>
  <si>
    <t>Fanuc-450T</t>
  </si>
  <si>
    <t>Fanuc-500T</t>
  </si>
  <si>
    <t>UBE</t>
  </si>
  <si>
    <t>UBE-65T</t>
  </si>
  <si>
    <t>UBE-85T</t>
  </si>
  <si>
    <t>UBE-105T</t>
  </si>
  <si>
    <t>UBE-130T</t>
  </si>
  <si>
    <t>UBE-160T</t>
  </si>
  <si>
    <t>UBE-220T</t>
  </si>
  <si>
    <t>UBE-280T</t>
  </si>
  <si>
    <t>UBE-350T</t>
  </si>
  <si>
    <t>UBE-450T</t>
  </si>
  <si>
    <t>UBE-550T</t>
  </si>
  <si>
    <t>Battenfeld</t>
  </si>
  <si>
    <t>Battenfeld-60T</t>
  </si>
  <si>
    <t>Battenfeld-90T</t>
  </si>
  <si>
    <t>Battenfeld-120T</t>
  </si>
  <si>
    <t>Battenfeld-160T</t>
  </si>
  <si>
    <t>Battenfeld-210T</t>
  </si>
  <si>
    <t>Battenfeld-300T</t>
  </si>
  <si>
    <t>Battenfeld-400T</t>
  </si>
  <si>
    <t>Battenfeld-500T</t>
  </si>
  <si>
    <t>Battenfeld-650T</t>
  </si>
  <si>
    <t>Battenfeld-800T</t>
  </si>
  <si>
    <t>Demag</t>
  </si>
  <si>
    <t>Demag-50T</t>
  </si>
  <si>
    <t>Demag-75T</t>
  </si>
  <si>
    <t>Demag-100T</t>
  </si>
  <si>
    <t>Demag-130T</t>
  </si>
  <si>
    <t>Demag-180T</t>
  </si>
  <si>
    <t>Demag-220T</t>
  </si>
  <si>
    <t>Demag-280T</t>
  </si>
  <si>
    <t>Demag-350T</t>
  </si>
  <si>
    <t>Demag-450T</t>
  </si>
  <si>
    <t>Demag-500T</t>
  </si>
  <si>
    <t>Toshiba</t>
  </si>
  <si>
    <t>Toshiba-50T</t>
  </si>
  <si>
    <t>Toshiba-75T</t>
  </si>
  <si>
    <t>Toshiba-100T</t>
  </si>
  <si>
    <t>Toshiba-130T</t>
  </si>
  <si>
    <t>Toshiba-180T</t>
  </si>
  <si>
    <t>Toshiba-230T</t>
  </si>
  <si>
    <t>Toshiba-280T</t>
  </si>
  <si>
    <t>Toshiba-350T</t>
  </si>
  <si>
    <t>Toshiba-450T</t>
  </si>
  <si>
    <t>Toshiba-550T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</si>
</sst>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  <xf numFmtId="0" fontId="0" fillId="3" borderId="0" xfId="0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4"/>
  <sheetViews>
    <sheetView tabSelected="1" workbookViewId="0">
      <pane ySplit="1" topLeftCell="A248" activePane="bottomLeft" state="frozen"/>
      <selection pane="bottomLeft" activeCell="C268" sqref="C268"/>
    </sheetView>
  </sheetViews>
  <sheetFormatPr defaultRowHeight="15" x14ac:dyDescent="0.25"/>
  <cols>
    <col min="1" max="1" width="11.140625" bestFit="1" customWidth="1"/>
    <col min="2" max="2" width="17.140625" customWidth="1"/>
    <col min="3" max="3" width="17.85546875" bestFit="1" customWidth="1"/>
    <col min="4" max="4" width="12" customWidth="1"/>
    <col min="5" max="5" width="12.28515625" style="2" customWidth="1"/>
    <col min="6" max="6" width="8.85546875" customWidth="1"/>
    <col min="7" max="7" width="8.7109375" customWidth="1"/>
    <col min="8" max="8" width="9" customWidth="1"/>
    <col min="9" max="9" width="9.42578125" customWidth="1"/>
    <col min="10" max="10" width="13.28515625" customWidth="1"/>
    <col min="11" max="11" width="10.140625" customWidth="1"/>
    <col min="12" max="12" width="10.42578125" customWidth="1"/>
    <col min="13" max="13" width="15" customWidth="1"/>
    <col min="14" max="14" width="11.7109375" customWidth="1"/>
    <col min="15" max="15" width="13.140625" customWidth="1"/>
    <col min="16" max="16" width="11.5703125" customWidth="1"/>
    <col min="17" max="17" width="14.5703125" style="2" customWidth="1"/>
    <col min="18" max="18" width="19.28515625" style="2" customWidth="1"/>
    <col min="19" max="20" width="13.42578125" style="2" customWidth="1"/>
    <col min="21" max="21" width="33.42578125" bestFit="1" customWidth="1"/>
  </cols>
  <sheetData>
    <row r="1" spans="1:21" s="9" customFormat="1" ht="4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348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298</v>
      </c>
      <c r="N1" s="8" t="s">
        <v>12</v>
      </c>
      <c r="O1" s="10" t="s">
        <v>13</v>
      </c>
      <c r="P1" s="8" t="s">
        <v>14</v>
      </c>
      <c r="Q1" s="8" t="s">
        <v>296</v>
      </c>
      <c r="R1" s="8" t="s">
        <v>297</v>
      </c>
      <c r="S1" s="10" t="s">
        <v>349</v>
      </c>
      <c r="T1" s="8" t="s">
        <v>364</v>
      </c>
      <c r="U1" s="8" t="s">
        <v>11</v>
      </c>
    </row>
    <row r="2" spans="1:21" s="2" customFormat="1" x14ac:dyDescent="0.25">
      <c r="A2" s="2" t="s">
        <v>30</v>
      </c>
      <c r="B2" s="2" t="s">
        <v>31</v>
      </c>
      <c r="C2" s="3" t="s">
        <v>32</v>
      </c>
      <c r="D2" s="2">
        <f>E2/10</f>
        <v>25</v>
      </c>
      <c r="E2" s="2">
        <v>250</v>
      </c>
      <c r="F2" s="2">
        <v>380</v>
      </c>
      <c r="G2" s="2">
        <v>380</v>
      </c>
      <c r="H2" s="2">
        <v>220</v>
      </c>
      <c r="I2" s="2">
        <v>220</v>
      </c>
      <c r="J2" s="2">
        <v>475</v>
      </c>
      <c r="K2" s="2">
        <v>200</v>
      </c>
      <c r="L2" s="12">
        <v>425</v>
      </c>
      <c r="M2" s="2">
        <v>275</v>
      </c>
      <c r="O2" s="12">
        <v>18</v>
      </c>
      <c r="P2" s="2">
        <v>18</v>
      </c>
      <c r="Q2" s="2">
        <v>800</v>
      </c>
      <c r="S2" s="2">
        <v>95</v>
      </c>
      <c r="T2" s="2">
        <v>110</v>
      </c>
      <c r="U2" s="2" t="s">
        <v>33</v>
      </c>
    </row>
    <row r="3" spans="1:21" x14ac:dyDescent="0.25">
      <c r="A3" t="s">
        <v>30</v>
      </c>
      <c r="B3" t="s">
        <v>31</v>
      </c>
      <c r="C3" s="3" t="s">
        <v>32</v>
      </c>
      <c r="D3" s="2">
        <f t="shared" ref="D3:D27" si="0">E3/10</f>
        <v>25</v>
      </c>
      <c r="E3" s="2">
        <v>250</v>
      </c>
      <c r="F3">
        <v>380</v>
      </c>
      <c r="G3">
        <v>380</v>
      </c>
      <c r="H3" s="2">
        <v>220</v>
      </c>
      <c r="I3" s="2">
        <v>220</v>
      </c>
      <c r="J3">
        <v>475</v>
      </c>
      <c r="K3">
        <v>200</v>
      </c>
      <c r="L3" s="12">
        <v>425</v>
      </c>
      <c r="M3">
        <v>275</v>
      </c>
      <c r="O3">
        <v>48</v>
      </c>
      <c r="P3">
        <v>22</v>
      </c>
      <c r="Q3" s="2">
        <v>800</v>
      </c>
      <c r="S3" s="2">
        <v>95</v>
      </c>
      <c r="T3" s="2">
        <v>110</v>
      </c>
      <c r="U3" t="s">
        <v>33</v>
      </c>
    </row>
    <row r="4" spans="1:21" s="2" customFormat="1" x14ac:dyDescent="0.25">
      <c r="A4" s="2" t="s">
        <v>30</v>
      </c>
      <c r="B4" s="2" t="s">
        <v>31</v>
      </c>
      <c r="C4" s="3" t="s">
        <v>367</v>
      </c>
      <c r="D4" s="2">
        <f t="shared" si="0"/>
        <v>25</v>
      </c>
      <c r="E4" s="2">
        <v>250</v>
      </c>
      <c r="F4" s="2">
        <v>380</v>
      </c>
      <c r="G4" s="2">
        <v>380</v>
      </c>
      <c r="H4" s="2">
        <v>270</v>
      </c>
      <c r="I4" s="2">
        <v>270</v>
      </c>
      <c r="J4" s="2">
        <v>550</v>
      </c>
      <c r="K4" s="2">
        <v>200</v>
      </c>
      <c r="L4" s="2">
        <v>500</v>
      </c>
      <c r="M4" s="2">
        <v>90</v>
      </c>
      <c r="O4" s="2">
        <v>21</v>
      </c>
      <c r="P4" s="2">
        <v>18</v>
      </c>
      <c r="R4" s="2">
        <v>135</v>
      </c>
      <c r="T4" s="2">
        <v>110</v>
      </c>
      <c r="U4" s="2" t="s">
        <v>34</v>
      </c>
    </row>
    <row r="5" spans="1:21" s="2" customFormat="1" x14ac:dyDescent="0.25">
      <c r="A5" s="2" t="s">
        <v>30</v>
      </c>
      <c r="B5" s="2" t="s">
        <v>31</v>
      </c>
      <c r="C5" s="3" t="s">
        <v>368</v>
      </c>
      <c r="D5" s="2">
        <f t="shared" si="0"/>
        <v>25</v>
      </c>
      <c r="E5" s="2">
        <v>250</v>
      </c>
      <c r="F5" s="2">
        <v>380</v>
      </c>
      <c r="G5" s="2">
        <v>380</v>
      </c>
      <c r="H5" s="2">
        <v>270</v>
      </c>
      <c r="I5" s="2">
        <v>270</v>
      </c>
      <c r="J5" s="2">
        <v>550</v>
      </c>
      <c r="K5" s="2">
        <v>200</v>
      </c>
      <c r="L5" s="2">
        <v>500</v>
      </c>
      <c r="M5" s="2">
        <v>90</v>
      </c>
      <c r="O5" s="2">
        <v>31</v>
      </c>
      <c r="P5" s="2">
        <v>22</v>
      </c>
      <c r="R5" s="2">
        <v>135</v>
      </c>
      <c r="T5" s="2">
        <v>110</v>
      </c>
      <c r="U5" s="2" t="s">
        <v>34</v>
      </c>
    </row>
    <row r="6" spans="1:21" s="2" customFormat="1" x14ac:dyDescent="0.25">
      <c r="A6" s="2" t="s">
        <v>30</v>
      </c>
      <c r="B6" s="2" t="s">
        <v>31</v>
      </c>
      <c r="C6" s="3" t="s">
        <v>369</v>
      </c>
      <c r="D6" s="2">
        <f t="shared" si="0"/>
        <v>25</v>
      </c>
      <c r="E6" s="2">
        <v>250</v>
      </c>
      <c r="F6" s="2">
        <v>380</v>
      </c>
      <c r="G6" s="2">
        <v>380</v>
      </c>
      <c r="H6" s="2">
        <v>270</v>
      </c>
      <c r="I6" s="2">
        <v>270</v>
      </c>
      <c r="J6" s="2">
        <v>550</v>
      </c>
      <c r="K6" s="2">
        <v>200</v>
      </c>
      <c r="L6" s="2">
        <v>500</v>
      </c>
      <c r="M6" s="2">
        <v>90</v>
      </c>
      <c r="O6" s="2">
        <v>40</v>
      </c>
      <c r="P6" s="2">
        <v>25</v>
      </c>
      <c r="R6" s="2">
        <v>135</v>
      </c>
      <c r="T6" s="2">
        <v>110</v>
      </c>
      <c r="U6" s="2" t="s">
        <v>34</v>
      </c>
    </row>
    <row r="7" spans="1:21" s="2" customFormat="1" x14ac:dyDescent="0.25">
      <c r="A7" s="2" t="s">
        <v>30</v>
      </c>
      <c r="B7" s="2" t="s">
        <v>31</v>
      </c>
      <c r="C7" s="3" t="s">
        <v>370</v>
      </c>
      <c r="D7" s="2">
        <f t="shared" si="0"/>
        <v>25</v>
      </c>
      <c r="E7" s="2">
        <v>250</v>
      </c>
      <c r="F7" s="2">
        <v>380</v>
      </c>
      <c r="G7" s="2">
        <v>380</v>
      </c>
      <c r="H7" s="2">
        <v>270</v>
      </c>
      <c r="I7" s="2">
        <v>270</v>
      </c>
      <c r="J7" s="2">
        <v>550</v>
      </c>
      <c r="K7" s="2">
        <v>200</v>
      </c>
      <c r="L7" s="2">
        <v>500</v>
      </c>
      <c r="M7" s="2">
        <v>90</v>
      </c>
      <c r="O7" s="2">
        <v>29</v>
      </c>
      <c r="P7" s="2">
        <v>20</v>
      </c>
      <c r="R7" s="2">
        <v>135</v>
      </c>
      <c r="T7" s="2">
        <v>110</v>
      </c>
      <c r="U7" s="2" t="s">
        <v>34</v>
      </c>
    </row>
    <row r="8" spans="1:21" s="2" customFormat="1" x14ac:dyDescent="0.25">
      <c r="A8" s="2" t="s">
        <v>30</v>
      </c>
      <c r="B8" s="2" t="s">
        <v>31</v>
      </c>
      <c r="C8" s="3" t="s">
        <v>371</v>
      </c>
      <c r="D8" s="2">
        <f t="shared" si="0"/>
        <v>25</v>
      </c>
      <c r="E8" s="2">
        <v>250</v>
      </c>
      <c r="F8" s="2">
        <v>380</v>
      </c>
      <c r="G8" s="2">
        <v>380</v>
      </c>
      <c r="H8" s="2">
        <v>270</v>
      </c>
      <c r="I8" s="2">
        <v>270</v>
      </c>
      <c r="J8" s="2">
        <v>550</v>
      </c>
      <c r="K8" s="2">
        <v>200</v>
      </c>
      <c r="L8" s="2">
        <v>500</v>
      </c>
      <c r="M8" s="2">
        <v>90</v>
      </c>
      <c r="O8" s="2">
        <v>45</v>
      </c>
      <c r="P8" s="2">
        <v>25</v>
      </c>
      <c r="R8" s="2">
        <v>135</v>
      </c>
      <c r="T8" s="2">
        <v>110</v>
      </c>
      <c r="U8" s="2" t="s">
        <v>34</v>
      </c>
    </row>
    <row r="9" spans="1:21" s="2" customFormat="1" x14ac:dyDescent="0.25">
      <c r="A9" s="2" t="s">
        <v>30</v>
      </c>
      <c r="B9" s="2" t="s">
        <v>31</v>
      </c>
      <c r="C9" s="3" t="s">
        <v>372</v>
      </c>
      <c r="D9" s="2">
        <f t="shared" si="0"/>
        <v>25</v>
      </c>
      <c r="E9" s="2">
        <v>250</v>
      </c>
      <c r="F9" s="2">
        <v>380</v>
      </c>
      <c r="G9" s="2">
        <v>380</v>
      </c>
      <c r="H9" s="2">
        <v>270</v>
      </c>
      <c r="I9" s="2">
        <v>270</v>
      </c>
      <c r="J9" s="2">
        <v>550</v>
      </c>
      <c r="K9" s="2">
        <v>200</v>
      </c>
      <c r="L9" s="2">
        <v>500</v>
      </c>
      <c r="M9" s="2">
        <v>90</v>
      </c>
      <c r="O9" s="2">
        <v>65</v>
      </c>
      <c r="P9" s="2">
        <v>30</v>
      </c>
      <c r="R9" s="2">
        <v>135</v>
      </c>
      <c r="T9" s="2">
        <v>110</v>
      </c>
      <c r="U9" s="2" t="s">
        <v>34</v>
      </c>
    </row>
    <row r="10" spans="1:21" s="2" customFormat="1" x14ac:dyDescent="0.25">
      <c r="A10" s="2" t="s">
        <v>30</v>
      </c>
      <c r="B10" s="2" t="s">
        <v>31</v>
      </c>
      <c r="C10" s="3" t="s">
        <v>373</v>
      </c>
      <c r="D10" s="2">
        <f t="shared" si="0"/>
        <v>35</v>
      </c>
      <c r="E10" s="2">
        <v>350</v>
      </c>
      <c r="F10" s="2">
        <v>380</v>
      </c>
      <c r="G10" s="2">
        <v>380</v>
      </c>
      <c r="H10" s="2">
        <v>270</v>
      </c>
      <c r="I10" s="2">
        <v>270</v>
      </c>
      <c r="J10" s="2">
        <v>550</v>
      </c>
      <c r="K10" s="2">
        <v>200</v>
      </c>
      <c r="L10" s="2">
        <v>500</v>
      </c>
      <c r="M10" s="2">
        <v>90</v>
      </c>
      <c r="O10" s="2">
        <v>21</v>
      </c>
      <c r="P10" s="2">
        <v>18</v>
      </c>
      <c r="R10" s="2">
        <v>135</v>
      </c>
      <c r="T10" s="2">
        <v>110</v>
      </c>
      <c r="U10" s="2" t="s">
        <v>34</v>
      </c>
    </row>
    <row r="11" spans="1:21" s="2" customFormat="1" x14ac:dyDescent="0.25">
      <c r="A11" s="2" t="s">
        <v>30</v>
      </c>
      <c r="B11" s="2" t="s">
        <v>31</v>
      </c>
      <c r="C11" s="3" t="s">
        <v>374</v>
      </c>
      <c r="D11" s="2">
        <f t="shared" si="0"/>
        <v>35</v>
      </c>
      <c r="E11" s="2">
        <v>350</v>
      </c>
      <c r="F11" s="2">
        <v>380</v>
      </c>
      <c r="G11" s="2">
        <v>380</v>
      </c>
      <c r="H11" s="2">
        <v>270</v>
      </c>
      <c r="I11" s="2">
        <v>270</v>
      </c>
      <c r="J11" s="2">
        <v>550</v>
      </c>
      <c r="K11" s="2">
        <v>200</v>
      </c>
      <c r="L11" s="2">
        <v>500</v>
      </c>
      <c r="M11" s="2">
        <v>90</v>
      </c>
      <c r="O11" s="2">
        <v>31</v>
      </c>
      <c r="P11" s="2">
        <v>22</v>
      </c>
      <c r="R11" s="2">
        <v>135</v>
      </c>
      <c r="T11" s="2">
        <v>110</v>
      </c>
      <c r="U11" s="2" t="s">
        <v>34</v>
      </c>
    </row>
    <row r="12" spans="1:21" s="2" customFormat="1" x14ac:dyDescent="0.25">
      <c r="A12" s="2" t="s">
        <v>30</v>
      </c>
      <c r="B12" s="2" t="s">
        <v>31</v>
      </c>
      <c r="C12" s="3" t="s">
        <v>375</v>
      </c>
      <c r="D12" s="2">
        <f t="shared" si="0"/>
        <v>35</v>
      </c>
      <c r="E12" s="2">
        <v>350</v>
      </c>
      <c r="F12" s="2">
        <v>380</v>
      </c>
      <c r="G12" s="2">
        <v>380</v>
      </c>
      <c r="H12" s="2">
        <v>270</v>
      </c>
      <c r="I12" s="2">
        <v>270</v>
      </c>
      <c r="J12" s="2">
        <v>550</v>
      </c>
      <c r="K12" s="2">
        <v>200</v>
      </c>
      <c r="L12" s="2">
        <v>500</v>
      </c>
      <c r="M12" s="2">
        <v>90</v>
      </c>
      <c r="O12" s="2">
        <v>40</v>
      </c>
      <c r="P12" s="2">
        <v>25</v>
      </c>
      <c r="R12" s="2">
        <v>135</v>
      </c>
      <c r="T12" s="2">
        <v>110</v>
      </c>
      <c r="U12" s="2" t="s">
        <v>34</v>
      </c>
    </row>
    <row r="13" spans="1:21" s="2" customFormat="1" x14ac:dyDescent="0.25">
      <c r="A13" s="2" t="s">
        <v>30</v>
      </c>
      <c r="B13" s="2" t="s">
        <v>31</v>
      </c>
      <c r="C13" s="3" t="s">
        <v>382</v>
      </c>
      <c r="D13" s="2">
        <f t="shared" si="0"/>
        <v>35</v>
      </c>
      <c r="E13" s="2">
        <v>350</v>
      </c>
      <c r="F13" s="2">
        <v>380</v>
      </c>
      <c r="G13" s="2">
        <v>380</v>
      </c>
      <c r="H13" s="2">
        <v>270</v>
      </c>
      <c r="I13" s="2">
        <v>270</v>
      </c>
      <c r="J13" s="2">
        <v>550</v>
      </c>
      <c r="K13" s="2">
        <v>200</v>
      </c>
      <c r="L13" s="2">
        <v>500</v>
      </c>
      <c r="M13" s="2">
        <v>90</v>
      </c>
      <c r="O13" s="2">
        <v>29</v>
      </c>
      <c r="P13" s="2">
        <v>20</v>
      </c>
      <c r="R13" s="2">
        <v>135</v>
      </c>
      <c r="T13" s="2">
        <v>110</v>
      </c>
      <c r="U13" s="2" t="s">
        <v>34</v>
      </c>
    </row>
    <row r="14" spans="1:21" s="2" customFormat="1" x14ac:dyDescent="0.25">
      <c r="A14" s="2" t="s">
        <v>30</v>
      </c>
      <c r="B14" s="2" t="s">
        <v>31</v>
      </c>
      <c r="C14" s="3" t="s">
        <v>376</v>
      </c>
      <c r="D14" s="2">
        <f t="shared" si="0"/>
        <v>35</v>
      </c>
      <c r="E14" s="2">
        <v>350</v>
      </c>
      <c r="F14" s="2">
        <v>380</v>
      </c>
      <c r="G14" s="2">
        <v>380</v>
      </c>
      <c r="H14" s="2">
        <v>270</v>
      </c>
      <c r="I14" s="2">
        <v>270</v>
      </c>
      <c r="J14" s="2">
        <v>550</v>
      </c>
      <c r="K14" s="2">
        <v>200</v>
      </c>
      <c r="L14" s="2">
        <v>500</v>
      </c>
      <c r="M14" s="2">
        <v>90</v>
      </c>
      <c r="O14" s="2">
        <v>45</v>
      </c>
      <c r="P14" s="2">
        <v>25</v>
      </c>
      <c r="R14" s="2">
        <v>135</v>
      </c>
      <c r="T14" s="2">
        <v>110</v>
      </c>
      <c r="U14" s="2" t="s">
        <v>34</v>
      </c>
    </row>
    <row r="15" spans="1:21" s="2" customFormat="1" x14ac:dyDescent="0.25">
      <c r="A15" s="2" t="s">
        <v>30</v>
      </c>
      <c r="B15" s="2" t="s">
        <v>31</v>
      </c>
      <c r="C15" s="3" t="s">
        <v>381</v>
      </c>
      <c r="D15" s="2">
        <f t="shared" si="0"/>
        <v>35</v>
      </c>
      <c r="E15" s="2">
        <v>350</v>
      </c>
      <c r="F15" s="2">
        <v>380</v>
      </c>
      <c r="G15" s="2">
        <v>380</v>
      </c>
      <c r="H15" s="2">
        <v>270</v>
      </c>
      <c r="I15" s="2">
        <v>270</v>
      </c>
      <c r="J15" s="2">
        <v>550</v>
      </c>
      <c r="K15" s="2">
        <v>200</v>
      </c>
      <c r="L15" s="2">
        <v>500</v>
      </c>
      <c r="M15" s="2">
        <v>90</v>
      </c>
      <c r="O15" s="2">
        <v>65</v>
      </c>
      <c r="P15" s="2">
        <v>30</v>
      </c>
      <c r="R15" s="2">
        <v>135</v>
      </c>
      <c r="T15" s="2">
        <v>110</v>
      </c>
      <c r="U15" s="2" t="s">
        <v>34</v>
      </c>
    </row>
    <row r="16" spans="1:21" s="2" customFormat="1" x14ac:dyDescent="0.25">
      <c r="A16" s="2" t="s">
        <v>30</v>
      </c>
      <c r="B16" s="2" t="s">
        <v>31</v>
      </c>
      <c r="C16" s="3" t="s">
        <v>377</v>
      </c>
      <c r="D16" s="2">
        <f t="shared" si="0"/>
        <v>35</v>
      </c>
      <c r="E16" s="2">
        <v>350</v>
      </c>
      <c r="F16" s="2">
        <v>380</v>
      </c>
      <c r="G16" s="2">
        <v>380</v>
      </c>
      <c r="H16" s="2">
        <v>270</v>
      </c>
      <c r="I16" s="2">
        <v>270</v>
      </c>
      <c r="J16" s="2">
        <v>550</v>
      </c>
      <c r="K16" s="2">
        <v>200</v>
      </c>
      <c r="L16" s="2">
        <v>500</v>
      </c>
      <c r="M16" s="2">
        <v>90</v>
      </c>
      <c r="O16" s="2">
        <v>54</v>
      </c>
      <c r="P16" s="2">
        <v>25</v>
      </c>
      <c r="R16" s="2">
        <v>135</v>
      </c>
      <c r="T16" s="2">
        <v>110</v>
      </c>
      <c r="U16" s="2" t="s">
        <v>34</v>
      </c>
    </row>
    <row r="17" spans="1:21" s="2" customFormat="1" x14ac:dyDescent="0.25">
      <c r="A17" s="2" t="s">
        <v>30</v>
      </c>
      <c r="B17" s="2" t="s">
        <v>31</v>
      </c>
      <c r="C17" s="3" t="s">
        <v>380</v>
      </c>
      <c r="D17" s="2">
        <f t="shared" si="0"/>
        <v>35</v>
      </c>
      <c r="E17" s="2">
        <v>350</v>
      </c>
      <c r="F17" s="2">
        <v>380</v>
      </c>
      <c r="G17" s="2">
        <v>380</v>
      </c>
      <c r="H17" s="2">
        <v>270</v>
      </c>
      <c r="I17" s="2">
        <v>270</v>
      </c>
      <c r="J17" s="2">
        <v>550</v>
      </c>
      <c r="K17" s="2">
        <v>200</v>
      </c>
      <c r="L17" s="2">
        <v>500</v>
      </c>
      <c r="M17" s="2">
        <v>90</v>
      </c>
      <c r="O17" s="2">
        <v>77</v>
      </c>
      <c r="P17" s="2">
        <v>30</v>
      </c>
      <c r="R17" s="2">
        <v>135</v>
      </c>
      <c r="T17" s="2">
        <v>110</v>
      </c>
      <c r="U17" s="2" t="s">
        <v>34</v>
      </c>
    </row>
    <row r="18" spans="1:21" s="2" customFormat="1" x14ac:dyDescent="0.25">
      <c r="A18" s="2" t="s">
        <v>30</v>
      </c>
      <c r="B18" s="2" t="s">
        <v>31</v>
      </c>
      <c r="C18" s="3" t="s">
        <v>379</v>
      </c>
      <c r="D18" s="2">
        <f t="shared" si="0"/>
        <v>35</v>
      </c>
      <c r="E18" s="2">
        <v>350</v>
      </c>
      <c r="F18" s="2">
        <v>380</v>
      </c>
      <c r="G18" s="2">
        <v>380</v>
      </c>
      <c r="H18" s="2">
        <v>270</v>
      </c>
      <c r="I18" s="2">
        <v>270</v>
      </c>
      <c r="J18" s="2">
        <v>550</v>
      </c>
      <c r="K18" s="2">
        <v>200</v>
      </c>
      <c r="L18" s="2">
        <v>500</v>
      </c>
      <c r="M18" s="2">
        <v>90</v>
      </c>
      <c r="O18" s="2">
        <v>105</v>
      </c>
      <c r="P18" s="2">
        <v>35</v>
      </c>
      <c r="R18" s="2">
        <v>135</v>
      </c>
      <c r="T18" s="2">
        <v>110</v>
      </c>
      <c r="U18" s="2" t="s">
        <v>34</v>
      </c>
    </row>
    <row r="19" spans="1:21" s="2" customFormat="1" x14ac:dyDescent="0.25">
      <c r="A19" s="2" t="s">
        <v>30</v>
      </c>
      <c r="B19" s="2" t="s">
        <v>31</v>
      </c>
      <c r="C19" s="3" t="s">
        <v>383</v>
      </c>
      <c r="D19" s="2">
        <f t="shared" si="0"/>
        <v>40</v>
      </c>
      <c r="E19" s="2">
        <v>400</v>
      </c>
      <c r="F19" s="2">
        <v>380</v>
      </c>
      <c r="G19" s="2">
        <v>380</v>
      </c>
      <c r="H19" s="2">
        <v>270</v>
      </c>
      <c r="I19" s="2">
        <v>270</v>
      </c>
      <c r="J19" s="2">
        <v>550</v>
      </c>
      <c r="K19" s="2">
        <v>200</v>
      </c>
      <c r="L19" s="2">
        <v>500</v>
      </c>
      <c r="M19" s="2">
        <v>90</v>
      </c>
      <c r="O19" s="2">
        <v>21</v>
      </c>
      <c r="P19" s="2">
        <v>18</v>
      </c>
      <c r="R19" s="2">
        <v>135</v>
      </c>
      <c r="T19" s="2">
        <v>110</v>
      </c>
      <c r="U19" s="2" t="s">
        <v>34</v>
      </c>
    </row>
    <row r="20" spans="1:21" s="2" customFormat="1" x14ac:dyDescent="0.25">
      <c r="A20" s="2" t="s">
        <v>30</v>
      </c>
      <c r="B20" s="2" t="s">
        <v>31</v>
      </c>
      <c r="C20" s="3" t="s">
        <v>384</v>
      </c>
      <c r="D20" s="2">
        <f t="shared" si="0"/>
        <v>40</v>
      </c>
      <c r="E20" s="2">
        <v>400</v>
      </c>
      <c r="F20" s="2">
        <v>380</v>
      </c>
      <c r="G20" s="2">
        <v>380</v>
      </c>
      <c r="H20" s="2">
        <v>270</v>
      </c>
      <c r="I20" s="2">
        <v>270</v>
      </c>
      <c r="J20" s="2">
        <v>550</v>
      </c>
      <c r="K20" s="2">
        <v>200</v>
      </c>
      <c r="L20" s="2">
        <v>500</v>
      </c>
      <c r="M20" s="2">
        <v>90</v>
      </c>
      <c r="O20" s="2">
        <v>31</v>
      </c>
      <c r="P20" s="2">
        <v>22</v>
      </c>
      <c r="R20" s="2">
        <v>135</v>
      </c>
      <c r="T20" s="2">
        <v>110</v>
      </c>
      <c r="U20" s="2" t="s">
        <v>34</v>
      </c>
    </row>
    <row r="21" spans="1:21" s="2" customFormat="1" x14ac:dyDescent="0.25">
      <c r="A21" s="2" t="s">
        <v>30</v>
      </c>
      <c r="B21" s="2" t="s">
        <v>31</v>
      </c>
      <c r="C21" s="3" t="s">
        <v>385</v>
      </c>
      <c r="D21" s="2">
        <f t="shared" si="0"/>
        <v>40</v>
      </c>
      <c r="E21" s="2">
        <v>400</v>
      </c>
      <c r="F21" s="2">
        <v>380</v>
      </c>
      <c r="G21" s="2">
        <v>380</v>
      </c>
      <c r="H21" s="2">
        <v>270</v>
      </c>
      <c r="I21" s="2">
        <v>270</v>
      </c>
      <c r="J21" s="2">
        <v>550</v>
      </c>
      <c r="K21" s="2">
        <v>200</v>
      </c>
      <c r="L21" s="2">
        <v>500</v>
      </c>
      <c r="M21" s="2">
        <v>90</v>
      </c>
      <c r="O21" s="2">
        <v>40</v>
      </c>
      <c r="P21" s="2">
        <v>25</v>
      </c>
      <c r="R21" s="2">
        <v>135</v>
      </c>
      <c r="T21" s="2">
        <v>110</v>
      </c>
      <c r="U21" s="2" t="s">
        <v>34</v>
      </c>
    </row>
    <row r="22" spans="1:21" s="2" customFormat="1" x14ac:dyDescent="0.25">
      <c r="A22" s="2" t="s">
        <v>30</v>
      </c>
      <c r="B22" s="2" t="s">
        <v>31</v>
      </c>
      <c r="C22" s="3" t="s">
        <v>386</v>
      </c>
      <c r="D22" s="2">
        <f t="shared" si="0"/>
        <v>40</v>
      </c>
      <c r="E22" s="2">
        <v>400</v>
      </c>
      <c r="F22" s="2">
        <v>380</v>
      </c>
      <c r="G22" s="2">
        <v>380</v>
      </c>
      <c r="H22" s="2">
        <v>270</v>
      </c>
      <c r="I22" s="2">
        <v>270</v>
      </c>
      <c r="J22" s="2">
        <v>550</v>
      </c>
      <c r="K22" s="2">
        <v>200</v>
      </c>
      <c r="L22" s="2">
        <v>500</v>
      </c>
      <c r="M22" s="2">
        <v>90</v>
      </c>
      <c r="O22" s="2">
        <v>29</v>
      </c>
      <c r="P22" s="2">
        <v>20</v>
      </c>
      <c r="R22" s="2">
        <v>135</v>
      </c>
      <c r="T22" s="2">
        <v>110</v>
      </c>
      <c r="U22" s="2" t="s">
        <v>34</v>
      </c>
    </row>
    <row r="23" spans="1:21" s="2" customFormat="1" x14ac:dyDescent="0.25">
      <c r="A23" s="2" t="s">
        <v>30</v>
      </c>
      <c r="B23" s="2" t="s">
        <v>31</v>
      </c>
      <c r="C23" s="3" t="s">
        <v>387</v>
      </c>
      <c r="D23" s="2">
        <f t="shared" si="0"/>
        <v>40</v>
      </c>
      <c r="E23" s="2">
        <v>400</v>
      </c>
      <c r="F23" s="2">
        <v>380</v>
      </c>
      <c r="G23" s="2">
        <v>380</v>
      </c>
      <c r="H23" s="2">
        <v>270</v>
      </c>
      <c r="I23" s="2">
        <v>270</v>
      </c>
      <c r="J23" s="2">
        <v>550</v>
      </c>
      <c r="K23" s="2">
        <v>200</v>
      </c>
      <c r="L23" s="2">
        <v>500</v>
      </c>
      <c r="M23" s="2">
        <v>90</v>
      </c>
      <c r="O23" s="2">
        <v>45</v>
      </c>
      <c r="P23" s="2">
        <v>25</v>
      </c>
      <c r="R23" s="2">
        <v>135</v>
      </c>
      <c r="T23" s="2">
        <v>110</v>
      </c>
      <c r="U23" s="2" t="s">
        <v>34</v>
      </c>
    </row>
    <row r="24" spans="1:21" s="2" customFormat="1" x14ac:dyDescent="0.25">
      <c r="A24" s="2" t="s">
        <v>30</v>
      </c>
      <c r="B24" s="2" t="s">
        <v>31</v>
      </c>
      <c r="C24" s="3" t="s">
        <v>388</v>
      </c>
      <c r="D24" s="2">
        <f t="shared" si="0"/>
        <v>40</v>
      </c>
      <c r="E24" s="2">
        <v>400</v>
      </c>
      <c r="F24" s="2">
        <v>380</v>
      </c>
      <c r="G24" s="2">
        <v>380</v>
      </c>
      <c r="H24" s="2">
        <v>270</v>
      </c>
      <c r="I24" s="2">
        <v>270</v>
      </c>
      <c r="J24" s="2">
        <v>550</v>
      </c>
      <c r="K24" s="2">
        <v>200</v>
      </c>
      <c r="L24" s="2">
        <v>500</v>
      </c>
      <c r="M24" s="2">
        <v>90</v>
      </c>
      <c r="O24" s="2">
        <v>65</v>
      </c>
      <c r="P24" s="2">
        <v>30</v>
      </c>
      <c r="R24" s="2">
        <v>135</v>
      </c>
      <c r="T24" s="2">
        <v>110</v>
      </c>
      <c r="U24" s="2" t="s">
        <v>34</v>
      </c>
    </row>
    <row r="25" spans="1:21" s="2" customFormat="1" x14ac:dyDescent="0.25">
      <c r="A25" s="2" t="s">
        <v>30</v>
      </c>
      <c r="B25" s="2" t="s">
        <v>31</v>
      </c>
      <c r="C25" s="3" t="s">
        <v>390</v>
      </c>
      <c r="D25" s="2">
        <f t="shared" si="0"/>
        <v>40</v>
      </c>
      <c r="E25" s="2">
        <v>400</v>
      </c>
      <c r="F25" s="2">
        <v>380</v>
      </c>
      <c r="G25" s="2">
        <v>380</v>
      </c>
      <c r="H25" s="2">
        <v>270</v>
      </c>
      <c r="I25" s="2">
        <v>270</v>
      </c>
      <c r="J25" s="2">
        <v>550</v>
      </c>
      <c r="K25" s="2">
        <v>200</v>
      </c>
      <c r="L25" s="2">
        <v>500</v>
      </c>
      <c r="M25" s="2">
        <v>90</v>
      </c>
      <c r="O25" s="2">
        <v>54</v>
      </c>
      <c r="P25" s="2">
        <v>25</v>
      </c>
      <c r="R25" s="2">
        <v>135</v>
      </c>
      <c r="T25" s="2">
        <v>110</v>
      </c>
      <c r="U25" s="2" t="s">
        <v>34</v>
      </c>
    </row>
    <row r="26" spans="1:21" s="2" customFormat="1" x14ac:dyDescent="0.25">
      <c r="A26" s="2" t="s">
        <v>30</v>
      </c>
      <c r="B26" s="2" t="s">
        <v>31</v>
      </c>
      <c r="C26" s="3" t="s">
        <v>389</v>
      </c>
      <c r="D26" s="2">
        <f t="shared" si="0"/>
        <v>40</v>
      </c>
      <c r="E26" s="2">
        <v>400</v>
      </c>
      <c r="F26" s="2">
        <v>380</v>
      </c>
      <c r="G26" s="2">
        <v>380</v>
      </c>
      <c r="H26" s="2">
        <v>270</v>
      </c>
      <c r="I26" s="2">
        <v>270</v>
      </c>
      <c r="J26" s="2">
        <v>550</v>
      </c>
      <c r="K26" s="2">
        <v>200</v>
      </c>
      <c r="L26" s="2">
        <v>500</v>
      </c>
      <c r="M26" s="2">
        <v>90</v>
      </c>
      <c r="O26" s="2">
        <v>77</v>
      </c>
      <c r="P26" s="2">
        <v>30</v>
      </c>
      <c r="R26" s="2">
        <v>135</v>
      </c>
      <c r="T26" s="2">
        <v>110</v>
      </c>
      <c r="U26" s="2" t="s">
        <v>34</v>
      </c>
    </row>
    <row r="27" spans="1:21" s="2" customFormat="1" x14ac:dyDescent="0.25">
      <c r="A27" s="2" t="s">
        <v>30</v>
      </c>
      <c r="B27" s="2" t="s">
        <v>31</v>
      </c>
      <c r="C27" s="3" t="s">
        <v>378</v>
      </c>
      <c r="D27" s="2">
        <f t="shared" si="0"/>
        <v>40</v>
      </c>
      <c r="E27" s="2">
        <v>400</v>
      </c>
      <c r="F27" s="2">
        <v>380</v>
      </c>
      <c r="G27" s="2">
        <v>380</v>
      </c>
      <c r="H27" s="2">
        <v>270</v>
      </c>
      <c r="I27" s="2">
        <v>270</v>
      </c>
      <c r="J27" s="2">
        <v>550</v>
      </c>
      <c r="K27" s="2">
        <v>200</v>
      </c>
      <c r="L27" s="2">
        <v>500</v>
      </c>
      <c r="M27" s="2">
        <v>90</v>
      </c>
      <c r="O27" s="2">
        <v>105</v>
      </c>
      <c r="P27" s="2">
        <v>35</v>
      </c>
      <c r="R27" s="2">
        <v>135</v>
      </c>
      <c r="T27" s="2">
        <v>110</v>
      </c>
      <c r="U27" s="2" t="s">
        <v>34</v>
      </c>
    </row>
    <row r="28" spans="1:21" s="2" customFormat="1" x14ac:dyDescent="0.25">
      <c r="A28" s="2" t="s">
        <v>30</v>
      </c>
      <c r="B28" s="2" t="s">
        <v>31</v>
      </c>
      <c r="C28" s="3" t="s">
        <v>350</v>
      </c>
      <c r="D28" s="2">
        <v>50</v>
      </c>
      <c r="E28" s="2">
        <f t="shared" ref="E28:E91" si="1">D28*10</f>
        <v>500</v>
      </c>
      <c r="F28" s="2">
        <v>446</v>
      </c>
      <c r="G28" s="2">
        <v>446</v>
      </c>
      <c r="H28" s="2">
        <v>320</v>
      </c>
      <c r="I28" s="2">
        <v>320</v>
      </c>
      <c r="J28" s="2">
        <v>550</v>
      </c>
      <c r="K28" s="2">
        <v>200</v>
      </c>
      <c r="M28" s="2">
        <v>350</v>
      </c>
      <c r="O28" s="2">
        <v>29</v>
      </c>
      <c r="P28" s="2">
        <v>20</v>
      </c>
      <c r="R28" s="2">
        <v>180</v>
      </c>
      <c r="S28" s="2">
        <v>125</v>
      </c>
      <c r="U28" s="2" t="s">
        <v>347</v>
      </c>
    </row>
    <row r="29" spans="1:21" s="2" customFormat="1" x14ac:dyDescent="0.25">
      <c r="A29" s="2" t="s">
        <v>30</v>
      </c>
      <c r="B29" s="2" t="s">
        <v>31</v>
      </c>
      <c r="C29" s="3" t="s">
        <v>350</v>
      </c>
      <c r="D29" s="2">
        <v>50</v>
      </c>
      <c r="E29" s="2">
        <f t="shared" si="1"/>
        <v>500</v>
      </c>
      <c r="F29" s="2">
        <v>446</v>
      </c>
      <c r="G29" s="2">
        <v>446</v>
      </c>
      <c r="H29" s="2">
        <v>320</v>
      </c>
      <c r="I29" s="2">
        <v>320</v>
      </c>
      <c r="J29" s="2">
        <v>550</v>
      </c>
      <c r="K29" s="2">
        <v>200</v>
      </c>
      <c r="M29" s="2">
        <v>350</v>
      </c>
      <c r="O29" s="11">
        <v>45</v>
      </c>
      <c r="P29" s="11">
        <v>25</v>
      </c>
      <c r="R29" s="2">
        <v>180</v>
      </c>
      <c r="S29" s="2">
        <v>125</v>
      </c>
      <c r="U29" s="2" t="s">
        <v>347</v>
      </c>
    </row>
    <row r="30" spans="1:21" s="2" customFormat="1" x14ac:dyDescent="0.25">
      <c r="A30" s="2" t="s">
        <v>30</v>
      </c>
      <c r="B30" s="2" t="s">
        <v>31</v>
      </c>
      <c r="C30" s="3" t="s">
        <v>350</v>
      </c>
      <c r="D30" s="2">
        <v>50</v>
      </c>
      <c r="E30" s="2">
        <f t="shared" si="1"/>
        <v>500</v>
      </c>
      <c r="F30" s="2">
        <v>446</v>
      </c>
      <c r="G30" s="2">
        <v>446</v>
      </c>
      <c r="H30" s="2">
        <v>320</v>
      </c>
      <c r="I30" s="2">
        <v>320</v>
      </c>
      <c r="J30" s="2">
        <v>550</v>
      </c>
      <c r="K30" s="2">
        <v>200</v>
      </c>
      <c r="M30" s="2">
        <v>350</v>
      </c>
      <c r="O30" s="11">
        <v>65</v>
      </c>
      <c r="P30" s="11">
        <v>30</v>
      </c>
      <c r="R30" s="2">
        <v>180</v>
      </c>
      <c r="S30" s="2">
        <v>125</v>
      </c>
      <c r="U30" s="2" t="s">
        <v>347</v>
      </c>
    </row>
    <row r="31" spans="1:21" s="2" customFormat="1" x14ac:dyDescent="0.25">
      <c r="A31" s="2" t="s">
        <v>30</v>
      </c>
      <c r="B31" s="2" t="s">
        <v>31</v>
      </c>
      <c r="C31" s="3" t="s">
        <v>351</v>
      </c>
      <c r="D31" s="2">
        <v>50</v>
      </c>
      <c r="E31" s="2">
        <f t="shared" si="1"/>
        <v>500</v>
      </c>
      <c r="F31" s="2">
        <v>446</v>
      </c>
      <c r="G31" s="2">
        <v>446</v>
      </c>
      <c r="H31" s="2">
        <v>320</v>
      </c>
      <c r="I31" s="2">
        <v>320</v>
      </c>
      <c r="J31" s="2">
        <v>550</v>
      </c>
      <c r="K31" s="2">
        <v>200</v>
      </c>
      <c r="M31" s="2">
        <v>350</v>
      </c>
      <c r="O31" s="11">
        <v>54</v>
      </c>
      <c r="P31" s="11">
        <v>25</v>
      </c>
      <c r="R31" s="2">
        <v>180</v>
      </c>
      <c r="S31" s="2">
        <v>125</v>
      </c>
      <c r="U31" s="2" t="s">
        <v>347</v>
      </c>
    </row>
    <row r="32" spans="1:21" s="2" customFormat="1" x14ac:dyDescent="0.25">
      <c r="A32" s="2" t="s">
        <v>30</v>
      </c>
      <c r="B32" s="2" t="s">
        <v>31</v>
      </c>
      <c r="C32" s="3" t="s">
        <v>351</v>
      </c>
      <c r="D32" s="2">
        <v>50</v>
      </c>
      <c r="E32" s="2">
        <f t="shared" si="1"/>
        <v>500</v>
      </c>
      <c r="F32" s="2">
        <v>446</v>
      </c>
      <c r="G32" s="2">
        <v>446</v>
      </c>
      <c r="H32" s="2">
        <v>320</v>
      </c>
      <c r="I32" s="2">
        <v>320</v>
      </c>
      <c r="J32" s="2">
        <v>550</v>
      </c>
      <c r="K32" s="2">
        <v>200</v>
      </c>
      <c r="M32" s="2">
        <v>350</v>
      </c>
      <c r="O32" s="11">
        <v>77</v>
      </c>
      <c r="P32" s="11">
        <v>30</v>
      </c>
      <c r="R32" s="2">
        <v>180</v>
      </c>
      <c r="S32" s="2">
        <v>125</v>
      </c>
      <c r="U32" s="2" t="s">
        <v>347</v>
      </c>
    </row>
    <row r="33" spans="1:21" s="2" customFormat="1" x14ac:dyDescent="0.25">
      <c r="A33" s="2" t="s">
        <v>30</v>
      </c>
      <c r="B33" s="2" t="s">
        <v>31</v>
      </c>
      <c r="C33" s="3" t="s">
        <v>351</v>
      </c>
      <c r="D33" s="2">
        <v>50</v>
      </c>
      <c r="E33" s="2">
        <f t="shared" si="1"/>
        <v>500</v>
      </c>
      <c r="F33" s="2">
        <v>446</v>
      </c>
      <c r="G33" s="2">
        <v>446</v>
      </c>
      <c r="H33" s="2">
        <v>320</v>
      </c>
      <c r="I33" s="2">
        <v>320</v>
      </c>
      <c r="J33" s="2">
        <v>550</v>
      </c>
      <c r="K33" s="2">
        <v>200</v>
      </c>
      <c r="M33" s="2">
        <v>350</v>
      </c>
      <c r="O33" s="11">
        <v>105</v>
      </c>
      <c r="P33" s="11">
        <v>35</v>
      </c>
      <c r="R33" s="2">
        <v>180</v>
      </c>
      <c r="S33" s="2">
        <v>125</v>
      </c>
      <c r="U33" s="2" t="s">
        <v>347</v>
      </c>
    </row>
    <row r="34" spans="1:21" s="2" customFormat="1" x14ac:dyDescent="0.25">
      <c r="A34" s="2" t="s">
        <v>30</v>
      </c>
      <c r="B34" s="2" t="s">
        <v>31</v>
      </c>
      <c r="C34" s="3" t="s">
        <v>35</v>
      </c>
      <c r="D34" s="2">
        <v>50</v>
      </c>
      <c r="E34" s="2">
        <v>500</v>
      </c>
      <c r="F34" s="2">
        <v>446</v>
      </c>
      <c r="G34" s="2">
        <v>446</v>
      </c>
      <c r="H34" s="2">
        <v>320</v>
      </c>
      <c r="I34" s="2">
        <v>320</v>
      </c>
      <c r="J34" s="2">
        <v>575</v>
      </c>
      <c r="K34" s="2">
        <v>200</v>
      </c>
      <c r="L34" s="2">
        <v>400</v>
      </c>
      <c r="M34" s="2">
        <v>350</v>
      </c>
      <c r="O34" s="2">
        <v>27</v>
      </c>
      <c r="P34" s="2">
        <v>22</v>
      </c>
      <c r="Q34" s="2">
        <v>2150</v>
      </c>
      <c r="S34" s="2">
        <v>125</v>
      </c>
      <c r="U34" s="2" t="s">
        <v>36</v>
      </c>
    </row>
    <row r="35" spans="1:21" x14ac:dyDescent="0.25">
      <c r="A35" t="s">
        <v>30</v>
      </c>
      <c r="B35" t="s">
        <v>31</v>
      </c>
      <c r="C35" t="s">
        <v>35</v>
      </c>
      <c r="D35" s="2">
        <v>50</v>
      </c>
      <c r="E35" s="2">
        <v>500</v>
      </c>
      <c r="F35" s="2">
        <v>446</v>
      </c>
      <c r="G35" s="2">
        <v>446</v>
      </c>
      <c r="H35">
        <v>320</v>
      </c>
      <c r="I35">
        <v>320</v>
      </c>
      <c r="J35">
        <v>600</v>
      </c>
      <c r="K35">
        <v>200</v>
      </c>
      <c r="L35">
        <v>400</v>
      </c>
      <c r="M35">
        <v>400</v>
      </c>
      <c r="O35" s="12">
        <v>90</v>
      </c>
      <c r="P35">
        <v>15.5</v>
      </c>
      <c r="U35" t="s">
        <v>36</v>
      </c>
    </row>
    <row r="36" spans="1:21" x14ac:dyDescent="0.25">
      <c r="A36" t="s">
        <v>30</v>
      </c>
      <c r="B36" t="s">
        <v>31</v>
      </c>
      <c r="C36" t="s">
        <v>37</v>
      </c>
      <c r="D36" s="2">
        <v>50</v>
      </c>
      <c r="E36" s="2">
        <v>500</v>
      </c>
      <c r="F36" s="2">
        <v>446</v>
      </c>
      <c r="G36" s="2">
        <v>446</v>
      </c>
      <c r="H36">
        <v>320</v>
      </c>
      <c r="I36">
        <v>320</v>
      </c>
      <c r="J36">
        <v>600</v>
      </c>
      <c r="K36">
        <v>200</v>
      </c>
      <c r="L36">
        <v>450</v>
      </c>
      <c r="M36">
        <v>450</v>
      </c>
      <c r="O36">
        <v>225</v>
      </c>
      <c r="P36">
        <v>24.5</v>
      </c>
      <c r="U36" t="s">
        <v>38</v>
      </c>
    </row>
    <row r="37" spans="1:21" x14ac:dyDescent="0.25">
      <c r="A37" t="s">
        <v>30</v>
      </c>
      <c r="B37" t="s">
        <v>31</v>
      </c>
      <c r="C37" t="s">
        <v>39</v>
      </c>
      <c r="D37">
        <v>290</v>
      </c>
      <c r="E37" s="2">
        <f t="shared" si="1"/>
        <v>2900</v>
      </c>
      <c r="F37">
        <v>770</v>
      </c>
      <c r="G37">
        <v>770</v>
      </c>
      <c r="H37">
        <v>470</v>
      </c>
      <c r="I37">
        <v>470</v>
      </c>
      <c r="J37">
        <v>800</v>
      </c>
      <c r="K37">
        <v>250</v>
      </c>
      <c r="L37">
        <v>600</v>
      </c>
      <c r="M37">
        <v>600</v>
      </c>
      <c r="O37">
        <v>435</v>
      </c>
      <c r="P37">
        <v>34.1</v>
      </c>
      <c r="U37" t="s">
        <v>40</v>
      </c>
    </row>
    <row r="38" spans="1:21" x14ac:dyDescent="0.25">
      <c r="A38" t="s">
        <v>30</v>
      </c>
      <c r="B38" t="s">
        <v>31</v>
      </c>
      <c r="C38" t="s">
        <v>41</v>
      </c>
      <c r="D38">
        <v>150</v>
      </c>
      <c r="E38" s="2">
        <f t="shared" si="1"/>
        <v>1500</v>
      </c>
      <c r="F38">
        <v>770</v>
      </c>
      <c r="G38">
        <v>770</v>
      </c>
      <c r="H38">
        <v>470</v>
      </c>
      <c r="I38">
        <v>470</v>
      </c>
      <c r="J38">
        <v>900</v>
      </c>
      <c r="K38">
        <v>250</v>
      </c>
      <c r="L38">
        <v>650</v>
      </c>
      <c r="M38">
        <v>650</v>
      </c>
      <c r="O38">
        <v>225</v>
      </c>
      <c r="P38">
        <v>24.5</v>
      </c>
      <c r="U38" t="s">
        <v>42</v>
      </c>
    </row>
    <row r="39" spans="1:21" x14ac:dyDescent="0.25">
      <c r="A39" t="s">
        <v>30</v>
      </c>
      <c r="B39" t="s">
        <v>31</v>
      </c>
      <c r="C39" t="s">
        <v>43</v>
      </c>
      <c r="D39">
        <v>350</v>
      </c>
      <c r="E39" s="2">
        <f t="shared" si="1"/>
        <v>3500</v>
      </c>
      <c r="F39">
        <v>850</v>
      </c>
      <c r="G39">
        <v>850</v>
      </c>
      <c r="H39">
        <v>550</v>
      </c>
      <c r="I39">
        <v>550</v>
      </c>
      <c r="J39">
        <v>1000</v>
      </c>
      <c r="K39">
        <v>300</v>
      </c>
      <c r="L39">
        <v>700</v>
      </c>
      <c r="M39">
        <v>700</v>
      </c>
      <c r="O39">
        <v>525</v>
      </c>
      <c r="P39">
        <v>37.4</v>
      </c>
      <c r="U39" t="s">
        <v>44</v>
      </c>
    </row>
    <row r="40" spans="1:21" x14ac:dyDescent="0.25">
      <c r="A40" t="s">
        <v>30</v>
      </c>
      <c r="B40" t="s">
        <v>31</v>
      </c>
      <c r="C40" t="s">
        <v>45</v>
      </c>
      <c r="D40">
        <v>400</v>
      </c>
      <c r="E40" s="2">
        <f t="shared" si="1"/>
        <v>4000</v>
      </c>
      <c r="F40">
        <v>900</v>
      </c>
      <c r="G40">
        <v>900</v>
      </c>
      <c r="H40">
        <v>600</v>
      </c>
      <c r="I40">
        <v>600</v>
      </c>
      <c r="J40">
        <v>1100</v>
      </c>
      <c r="K40">
        <v>300</v>
      </c>
      <c r="L40">
        <v>800</v>
      </c>
      <c r="M40">
        <v>800</v>
      </c>
      <c r="O40">
        <v>600</v>
      </c>
      <c r="P40">
        <v>40</v>
      </c>
      <c r="U40" t="s">
        <v>46</v>
      </c>
    </row>
    <row r="41" spans="1:21" x14ac:dyDescent="0.25">
      <c r="A41" t="s">
        <v>30</v>
      </c>
      <c r="B41" t="s">
        <v>31</v>
      </c>
      <c r="C41" t="s">
        <v>47</v>
      </c>
      <c r="D41">
        <v>800</v>
      </c>
      <c r="E41" s="2">
        <f t="shared" si="1"/>
        <v>8000</v>
      </c>
      <c r="F41">
        <v>1000</v>
      </c>
      <c r="G41">
        <v>1000</v>
      </c>
      <c r="H41">
        <v>700</v>
      </c>
      <c r="I41">
        <v>700</v>
      </c>
      <c r="J41">
        <v>1300</v>
      </c>
      <c r="K41">
        <v>350</v>
      </c>
      <c r="L41">
        <v>900</v>
      </c>
      <c r="M41">
        <v>900</v>
      </c>
      <c r="O41">
        <v>1200</v>
      </c>
      <c r="P41">
        <v>56.6</v>
      </c>
      <c r="U41" t="s">
        <v>48</v>
      </c>
    </row>
    <row r="42" spans="1:21" x14ac:dyDescent="0.25">
      <c r="A42" t="s">
        <v>30</v>
      </c>
      <c r="B42" t="s">
        <v>31</v>
      </c>
      <c r="C42" t="s">
        <v>49</v>
      </c>
      <c r="D42">
        <v>800</v>
      </c>
      <c r="E42" s="2">
        <f t="shared" si="1"/>
        <v>8000</v>
      </c>
      <c r="F42">
        <v>1100</v>
      </c>
      <c r="G42">
        <v>1100</v>
      </c>
      <c r="H42">
        <v>800</v>
      </c>
      <c r="I42">
        <v>800</v>
      </c>
      <c r="J42">
        <v>1400</v>
      </c>
      <c r="K42">
        <v>400</v>
      </c>
      <c r="L42">
        <v>1000</v>
      </c>
      <c r="M42">
        <v>1000</v>
      </c>
      <c r="O42">
        <v>1200</v>
      </c>
      <c r="P42">
        <v>56.6</v>
      </c>
      <c r="U42" t="s">
        <v>50</v>
      </c>
    </row>
    <row r="43" spans="1:21" x14ac:dyDescent="0.25">
      <c r="A43" t="s">
        <v>30</v>
      </c>
      <c r="B43" t="s">
        <v>31</v>
      </c>
      <c r="C43" t="s">
        <v>51</v>
      </c>
      <c r="D43">
        <v>1300</v>
      </c>
      <c r="E43" s="2">
        <f t="shared" si="1"/>
        <v>13000</v>
      </c>
      <c r="F43">
        <v>1300</v>
      </c>
      <c r="G43">
        <v>1300</v>
      </c>
      <c r="H43">
        <v>900</v>
      </c>
      <c r="I43">
        <v>900</v>
      </c>
      <c r="J43">
        <v>1800</v>
      </c>
      <c r="K43">
        <v>500</v>
      </c>
      <c r="L43">
        <v>1200</v>
      </c>
      <c r="M43">
        <v>1200</v>
      </c>
      <c r="O43">
        <v>1950</v>
      </c>
      <c r="P43">
        <v>72.099999999999994</v>
      </c>
      <c r="U43" t="s">
        <v>52</v>
      </c>
    </row>
    <row r="44" spans="1:21" x14ac:dyDescent="0.25">
      <c r="A44" t="s">
        <v>30</v>
      </c>
      <c r="B44" t="s">
        <v>31</v>
      </c>
      <c r="C44" t="s">
        <v>53</v>
      </c>
      <c r="D44">
        <v>2100</v>
      </c>
      <c r="E44" s="2">
        <f t="shared" si="1"/>
        <v>21000</v>
      </c>
      <c r="F44">
        <v>1500</v>
      </c>
      <c r="G44">
        <v>1500</v>
      </c>
      <c r="H44">
        <v>1100</v>
      </c>
      <c r="I44">
        <v>1100</v>
      </c>
      <c r="J44">
        <v>2000</v>
      </c>
      <c r="K44">
        <v>600</v>
      </c>
      <c r="L44">
        <v>1400</v>
      </c>
      <c r="M44">
        <v>1400</v>
      </c>
      <c r="O44">
        <v>3150</v>
      </c>
      <c r="P44">
        <v>91.7</v>
      </c>
      <c r="U44" t="s">
        <v>54</v>
      </c>
    </row>
    <row r="45" spans="1:21" x14ac:dyDescent="0.25">
      <c r="A45" t="s">
        <v>30</v>
      </c>
      <c r="B45" t="s">
        <v>55</v>
      </c>
      <c r="C45" t="s">
        <v>56</v>
      </c>
      <c r="D45">
        <v>100</v>
      </c>
      <c r="E45" s="2">
        <f t="shared" si="1"/>
        <v>1000</v>
      </c>
      <c r="F45">
        <v>500</v>
      </c>
      <c r="G45">
        <v>500</v>
      </c>
      <c r="H45">
        <v>320</v>
      </c>
      <c r="I45">
        <v>320</v>
      </c>
      <c r="J45">
        <v>550</v>
      </c>
      <c r="K45">
        <v>150</v>
      </c>
      <c r="L45">
        <v>350</v>
      </c>
      <c r="M45">
        <v>320</v>
      </c>
      <c r="O45">
        <v>150</v>
      </c>
      <c r="P45">
        <v>20</v>
      </c>
      <c r="U45" t="s">
        <v>57</v>
      </c>
    </row>
    <row r="46" spans="1:21" x14ac:dyDescent="0.25">
      <c r="A46" t="s">
        <v>30</v>
      </c>
      <c r="B46" t="s">
        <v>55</v>
      </c>
      <c r="C46" t="s">
        <v>58</v>
      </c>
      <c r="D46">
        <v>150</v>
      </c>
      <c r="E46" s="2">
        <f t="shared" si="1"/>
        <v>1500</v>
      </c>
      <c r="F46">
        <v>570</v>
      </c>
      <c r="G46">
        <v>570</v>
      </c>
      <c r="H46">
        <v>320</v>
      </c>
      <c r="I46">
        <v>320</v>
      </c>
      <c r="J46">
        <v>600</v>
      </c>
      <c r="K46">
        <v>200</v>
      </c>
      <c r="L46">
        <v>450</v>
      </c>
      <c r="M46">
        <v>400</v>
      </c>
      <c r="O46">
        <v>225</v>
      </c>
      <c r="P46">
        <v>24.5</v>
      </c>
      <c r="U46" t="s">
        <v>59</v>
      </c>
    </row>
    <row r="47" spans="1:21" x14ac:dyDescent="0.25">
      <c r="A47" t="s">
        <v>30</v>
      </c>
      <c r="B47" t="s">
        <v>55</v>
      </c>
      <c r="C47" t="s">
        <v>60</v>
      </c>
      <c r="D47">
        <v>290</v>
      </c>
      <c r="E47" s="2">
        <f t="shared" si="1"/>
        <v>2900</v>
      </c>
      <c r="F47">
        <v>770</v>
      </c>
      <c r="G47">
        <v>770</v>
      </c>
      <c r="H47">
        <v>470</v>
      </c>
      <c r="I47">
        <v>470</v>
      </c>
      <c r="J47">
        <v>800</v>
      </c>
      <c r="K47">
        <v>250</v>
      </c>
      <c r="L47">
        <v>600</v>
      </c>
      <c r="M47">
        <v>600</v>
      </c>
      <c r="O47">
        <v>435</v>
      </c>
      <c r="P47">
        <v>34.1</v>
      </c>
      <c r="U47" t="s">
        <v>61</v>
      </c>
    </row>
    <row r="48" spans="1:21" x14ac:dyDescent="0.25">
      <c r="A48" t="s">
        <v>30</v>
      </c>
      <c r="B48" t="s">
        <v>55</v>
      </c>
      <c r="C48" t="s">
        <v>62</v>
      </c>
      <c r="D48">
        <v>150</v>
      </c>
      <c r="E48" s="2">
        <f t="shared" si="1"/>
        <v>1500</v>
      </c>
      <c r="F48">
        <v>770</v>
      </c>
      <c r="G48">
        <v>770</v>
      </c>
      <c r="H48">
        <v>470</v>
      </c>
      <c r="I48">
        <v>470</v>
      </c>
      <c r="J48">
        <v>900</v>
      </c>
      <c r="K48">
        <v>250</v>
      </c>
      <c r="L48">
        <v>650</v>
      </c>
      <c r="M48">
        <v>650</v>
      </c>
      <c r="O48">
        <v>225</v>
      </c>
      <c r="P48">
        <v>24.5</v>
      </c>
      <c r="U48" t="s">
        <v>63</v>
      </c>
    </row>
    <row r="49" spans="1:21" x14ac:dyDescent="0.25">
      <c r="A49" t="s">
        <v>30</v>
      </c>
      <c r="B49" t="s">
        <v>55</v>
      </c>
      <c r="C49" t="s">
        <v>64</v>
      </c>
      <c r="D49">
        <v>350</v>
      </c>
      <c r="E49" s="2">
        <f t="shared" si="1"/>
        <v>3500</v>
      </c>
      <c r="F49">
        <v>850</v>
      </c>
      <c r="G49">
        <v>850</v>
      </c>
      <c r="H49">
        <v>550</v>
      </c>
      <c r="I49">
        <v>550</v>
      </c>
      <c r="J49">
        <v>1000</v>
      </c>
      <c r="K49">
        <v>300</v>
      </c>
      <c r="L49">
        <v>700</v>
      </c>
      <c r="M49">
        <v>700</v>
      </c>
      <c r="O49">
        <v>525</v>
      </c>
      <c r="P49">
        <v>37.4</v>
      </c>
      <c r="U49" t="s">
        <v>65</v>
      </c>
    </row>
    <row r="50" spans="1:21" x14ac:dyDescent="0.25">
      <c r="A50" t="s">
        <v>30</v>
      </c>
      <c r="B50" t="s">
        <v>55</v>
      </c>
      <c r="C50" t="s">
        <v>66</v>
      </c>
      <c r="D50">
        <v>400</v>
      </c>
      <c r="E50" s="2">
        <f t="shared" si="1"/>
        <v>4000</v>
      </c>
      <c r="F50">
        <v>900</v>
      </c>
      <c r="G50">
        <v>900</v>
      </c>
      <c r="H50">
        <v>600</v>
      </c>
      <c r="I50">
        <v>600</v>
      </c>
      <c r="J50">
        <v>1100</v>
      </c>
      <c r="K50">
        <v>300</v>
      </c>
      <c r="L50">
        <v>800</v>
      </c>
      <c r="M50">
        <v>800</v>
      </c>
      <c r="O50">
        <v>600</v>
      </c>
      <c r="P50">
        <v>40</v>
      </c>
      <c r="U50" t="s">
        <v>67</v>
      </c>
    </row>
    <row r="51" spans="1:21" x14ac:dyDescent="0.25">
      <c r="A51" t="s">
        <v>30</v>
      </c>
      <c r="B51" t="s">
        <v>55</v>
      </c>
      <c r="C51" t="s">
        <v>68</v>
      </c>
      <c r="D51">
        <v>800</v>
      </c>
      <c r="E51" s="2">
        <f t="shared" si="1"/>
        <v>8000</v>
      </c>
      <c r="F51">
        <v>1000</v>
      </c>
      <c r="G51">
        <v>1000</v>
      </c>
      <c r="H51">
        <v>700</v>
      </c>
      <c r="I51">
        <v>700</v>
      </c>
      <c r="J51">
        <v>1300</v>
      </c>
      <c r="K51">
        <v>350</v>
      </c>
      <c r="L51">
        <v>900</v>
      </c>
      <c r="M51">
        <v>900</v>
      </c>
      <c r="O51">
        <v>1200</v>
      </c>
      <c r="P51">
        <v>56.6</v>
      </c>
      <c r="U51" t="s">
        <v>69</v>
      </c>
    </row>
    <row r="52" spans="1:21" x14ac:dyDescent="0.25">
      <c r="A52" t="s">
        <v>30</v>
      </c>
      <c r="B52" t="s">
        <v>55</v>
      </c>
      <c r="C52" t="s">
        <v>70</v>
      </c>
      <c r="D52">
        <v>800</v>
      </c>
      <c r="E52" s="2">
        <f t="shared" si="1"/>
        <v>8000</v>
      </c>
      <c r="F52">
        <v>1100</v>
      </c>
      <c r="G52">
        <v>1100</v>
      </c>
      <c r="H52">
        <v>800</v>
      </c>
      <c r="I52">
        <v>800</v>
      </c>
      <c r="J52">
        <v>1400</v>
      </c>
      <c r="K52">
        <v>400</v>
      </c>
      <c r="L52">
        <v>1000</v>
      </c>
      <c r="M52">
        <v>1000</v>
      </c>
      <c r="O52">
        <v>1200</v>
      </c>
      <c r="P52">
        <v>56.6</v>
      </c>
      <c r="U52" t="s">
        <v>71</v>
      </c>
    </row>
    <row r="53" spans="1:21" x14ac:dyDescent="0.25">
      <c r="A53" t="s">
        <v>30</v>
      </c>
      <c r="B53" t="s">
        <v>55</v>
      </c>
      <c r="C53" t="s">
        <v>72</v>
      </c>
      <c r="D53">
        <v>1300</v>
      </c>
      <c r="E53" s="2">
        <f t="shared" si="1"/>
        <v>13000</v>
      </c>
      <c r="F53">
        <v>1300</v>
      </c>
      <c r="G53">
        <v>1300</v>
      </c>
      <c r="H53">
        <v>900</v>
      </c>
      <c r="I53">
        <v>900</v>
      </c>
      <c r="J53">
        <v>1800</v>
      </c>
      <c r="K53">
        <v>500</v>
      </c>
      <c r="L53">
        <v>1200</v>
      </c>
      <c r="M53">
        <v>1200</v>
      </c>
      <c r="O53">
        <v>1950</v>
      </c>
      <c r="P53">
        <v>72.099999999999994</v>
      </c>
      <c r="U53" t="s">
        <v>73</v>
      </c>
    </row>
    <row r="54" spans="1:21" x14ac:dyDescent="0.25">
      <c r="A54" t="s">
        <v>30</v>
      </c>
      <c r="B54" t="s">
        <v>74</v>
      </c>
      <c r="C54" t="s">
        <v>75</v>
      </c>
      <c r="D54">
        <v>290</v>
      </c>
      <c r="E54" s="2">
        <f>D54*10</f>
        <v>2900</v>
      </c>
      <c r="F54">
        <v>770</v>
      </c>
      <c r="G54">
        <v>770</v>
      </c>
      <c r="H54">
        <v>470</v>
      </c>
      <c r="I54">
        <v>470</v>
      </c>
      <c r="J54">
        <v>800</v>
      </c>
      <c r="K54">
        <v>250</v>
      </c>
      <c r="L54">
        <v>600</v>
      </c>
      <c r="M54">
        <v>600</v>
      </c>
      <c r="O54">
        <v>435</v>
      </c>
      <c r="P54">
        <v>34.1</v>
      </c>
      <c r="U54" t="s">
        <v>76</v>
      </c>
    </row>
    <row r="55" spans="1:21" x14ac:dyDescent="0.25">
      <c r="A55" t="s">
        <v>30</v>
      </c>
      <c r="B55" t="s">
        <v>74</v>
      </c>
      <c r="C55" t="s">
        <v>77</v>
      </c>
      <c r="D55">
        <v>350</v>
      </c>
      <c r="E55" s="2">
        <f t="shared" si="1"/>
        <v>3500</v>
      </c>
      <c r="F55">
        <v>850</v>
      </c>
      <c r="G55">
        <v>850</v>
      </c>
      <c r="H55">
        <v>550</v>
      </c>
      <c r="I55">
        <v>550</v>
      </c>
      <c r="J55">
        <v>1000</v>
      </c>
      <c r="K55">
        <v>300</v>
      </c>
      <c r="L55">
        <v>700</v>
      </c>
      <c r="M55">
        <v>700</v>
      </c>
      <c r="O55">
        <v>525</v>
      </c>
      <c r="P55">
        <v>37.4</v>
      </c>
      <c r="U55" t="s">
        <v>78</v>
      </c>
    </row>
    <row r="56" spans="1:21" x14ac:dyDescent="0.25">
      <c r="A56" t="s">
        <v>30</v>
      </c>
      <c r="B56" t="s">
        <v>74</v>
      </c>
      <c r="C56" t="s">
        <v>79</v>
      </c>
      <c r="D56">
        <v>400</v>
      </c>
      <c r="E56" s="2">
        <f t="shared" si="1"/>
        <v>4000</v>
      </c>
      <c r="F56">
        <v>900</v>
      </c>
      <c r="G56">
        <v>900</v>
      </c>
      <c r="H56">
        <v>600</v>
      </c>
      <c r="I56">
        <v>600</v>
      </c>
      <c r="J56">
        <v>1100</v>
      </c>
      <c r="K56">
        <v>300</v>
      </c>
      <c r="L56">
        <v>800</v>
      </c>
      <c r="M56">
        <v>800</v>
      </c>
      <c r="O56">
        <v>600</v>
      </c>
      <c r="P56">
        <v>40</v>
      </c>
      <c r="U56" t="s">
        <v>80</v>
      </c>
    </row>
    <row r="57" spans="1:21" x14ac:dyDescent="0.25">
      <c r="A57" t="s">
        <v>30</v>
      </c>
      <c r="B57" t="s">
        <v>74</v>
      </c>
      <c r="C57" t="s">
        <v>81</v>
      </c>
      <c r="D57">
        <v>800</v>
      </c>
      <c r="E57" s="2">
        <f t="shared" si="1"/>
        <v>8000</v>
      </c>
      <c r="F57">
        <v>1000</v>
      </c>
      <c r="G57">
        <v>1000</v>
      </c>
      <c r="H57">
        <v>700</v>
      </c>
      <c r="I57">
        <v>700</v>
      </c>
      <c r="J57">
        <v>1300</v>
      </c>
      <c r="K57">
        <v>350</v>
      </c>
      <c r="L57">
        <v>900</v>
      </c>
      <c r="M57">
        <v>900</v>
      </c>
      <c r="O57">
        <v>1200</v>
      </c>
      <c r="P57">
        <v>56.6</v>
      </c>
      <c r="U57" t="s">
        <v>82</v>
      </c>
    </row>
    <row r="58" spans="1:21" x14ac:dyDescent="0.25">
      <c r="A58" t="s">
        <v>30</v>
      </c>
      <c r="B58" t="s">
        <v>74</v>
      </c>
      <c r="C58" t="s">
        <v>83</v>
      </c>
      <c r="D58">
        <v>800</v>
      </c>
      <c r="E58" s="2">
        <f t="shared" si="1"/>
        <v>8000</v>
      </c>
      <c r="F58">
        <v>1100</v>
      </c>
      <c r="G58">
        <v>1100</v>
      </c>
      <c r="H58">
        <v>800</v>
      </c>
      <c r="I58">
        <v>800</v>
      </c>
      <c r="J58">
        <v>1400</v>
      </c>
      <c r="K58">
        <v>400</v>
      </c>
      <c r="L58">
        <v>1000</v>
      </c>
      <c r="M58">
        <v>1000</v>
      </c>
      <c r="O58">
        <v>1200</v>
      </c>
      <c r="P58">
        <v>56.6</v>
      </c>
      <c r="U58" t="s">
        <v>84</v>
      </c>
    </row>
    <row r="59" spans="1:21" x14ac:dyDescent="0.25">
      <c r="A59" t="s">
        <v>30</v>
      </c>
      <c r="B59" t="s">
        <v>74</v>
      </c>
      <c r="C59" t="s">
        <v>85</v>
      </c>
      <c r="D59">
        <v>1300</v>
      </c>
      <c r="E59" s="2">
        <f t="shared" si="1"/>
        <v>13000</v>
      </c>
      <c r="F59">
        <v>1300</v>
      </c>
      <c r="G59">
        <v>1300</v>
      </c>
      <c r="H59">
        <v>900</v>
      </c>
      <c r="I59">
        <v>900</v>
      </c>
      <c r="J59">
        <v>1800</v>
      </c>
      <c r="K59">
        <v>500</v>
      </c>
      <c r="L59">
        <v>1200</v>
      </c>
      <c r="M59">
        <v>1200</v>
      </c>
      <c r="O59">
        <v>1950</v>
      </c>
      <c r="P59">
        <v>72.099999999999994</v>
      </c>
      <c r="U59" t="s">
        <v>86</v>
      </c>
    </row>
    <row r="60" spans="1:21" x14ac:dyDescent="0.25">
      <c r="A60" t="s">
        <v>30</v>
      </c>
      <c r="B60" t="s">
        <v>74</v>
      </c>
      <c r="C60" t="s">
        <v>87</v>
      </c>
      <c r="D60">
        <v>2100</v>
      </c>
      <c r="E60" s="2">
        <f t="shared" si="1"/>
        <v>21000</v>
      </c>
      <c r="F60">
        <v>1500</v>
      </c>
      <c r="G60">
        <v>1500</v>
      </c>
      <c r="H60">
        <v>1100</v>
      </c>
      <c r="I60">
        <v>1100</v>
      </c>
      <c r="J60">
        <v>2000</v>
      </c>
      <c r="K60">
        <v>600</v>
      </c>
      <c r="L60">
        <v>1400</v>
      </c>
      <c r="M60">
        <v>1400</v>
      </c>
      <c r="O60">
        <v>3150</v>
      </c>
      <c r="P60">
        <v>91.7</v>
      </c>
      <c r="U60" t="s">
        <v>88</v>
      </c>
    </row>
    <row r="61" spans="1:21" x14ac:dyDescent="0.25">
      <c r="A61" t="s">
        <v>30</v>
      </c>
      <c r="B61" t="s">
        <v>89</v>
      </c>
      <c r="C61" t="s">
        <v>90</v>
      </c>
      <c r="D61">
        <v>30</v>
      </c>
      <c r="E61" s="2">
        <f t="shared" si="1"/>
        <v>300</v>
      </c>
      <c r="F61">
        <v>350</v>
      </c>
      <c r="G61">
        <v>350</v>
      </c>
      <c r="H61">
        <v>350</v>
      </c>
      <c r="I61">
        <v>350</v>
      </c>
      <c r="J61">
        <v>400</v>
      </c>
      <c r="K61">
        <v>120</v>
      </c>
      <c r="L61">
        <v>250</v>
      </c>
      <c r="M61">
        <v>200</v>
      </c>
      <c r="O61">
        <v>45</v>
      </c>
      <c r="P61">
        <v>11</v>
      </c>
      <c r="U61" t="s">
        <v>91</v>
      </c>
    </row>
    <row r="62" spans="1:21" x14ac:dyDescent="0.25">
      <c r="A62" t="s">
        <v>30</v>
      </c>
      <c r="B62" t="s">
        <v>89</v>
      </c>
      <c r="C62" t="s">
        <v>92</v>
      </c>
      <c r="D62">
        <v>60</v>
      </c>
      <c r="E62" s="2">
        <f t="shared" si="1"/>
        <v>600</v>
      </c>
      <c r="F62">
        <v>450</v>
      </c>
      <c r="G62">
        <v>450</v>
      </c>
      <c r="H62">
        <v>450</v>
      </c>
      <c r="I62">
        <v>450</v>
      </c>
      <c r="J62">
        <v>500</v>
      </c>
      <c r="K62">
        <v>150</v>
      </c>
      <c r="L62">
        <v>300</v>
      </c>
      <c r="M62">
        <v>300</v>
      </c>
      <c r="O62">
        <v>90</v>
      </c>
      <c r="P62">
        <v>15.5</v>
      </c>
      <c r="U62" t="s">
        <v>93</v>
      </c>
    </row>
    <row r="63" spans="1:21" x14ac:dyDescent="0.25">
      <c r="A63" t="s">
        <v>30</v>
      </c>
      <c r="B63" t="s">
        <v>89</v>
      </c>
      <c r="C63" t="s">
        <v>94</v>
      </c>
      <c r="D63">
        <v>100</v>
      </c>
      <c r="E63" s="2">
        <f t="shared" si="1"/>
        <v>1000</v>
      </c>
      <c r="F63">
        <v>500</v>
      </c>
      <c r="G63">
        <v>500</v>
      </c>
      <c r="H63">
        <v>500</v>
      </c>
      <c r="I63">
        <v>500</v>
      </c>
      <c r="J63">
        <v>500</v>
      </c>
      <c r="K63">
        <v>150</v>
      </c>
      <c r="L63">
        <v>350</v>
      </c>
      <c r="M63">
        <v>300</v>
      </c>
      <c r="O63">
        <v>150</v>
      </c>
      <c r="P63">
        <v>20</v>
      </c>
      <c r="U63" t="s">
        <v>95</v>
      </c>
    </row>
    <row r="64" spans="1:21" x14ac:dyDescent="0.25">
      <c r="A64" t="s">
        <v>15</v>
      </c>
      <c r="B64" t="s">
        <v>16</v>
      </c>
      <c r="C64" t="s">
        <v>17</v>
      </c>
      <c r="D64">
        <v>1100</v>
      </c>
      <c r="E64" s="2">
        <f t="shared" si="1"/>
        <v>11000</v>
      </c>
      <c r="F64">
        <v>2000</v>
      </c>
      <c r="G64">
        <v>1830</v>
      </c>
      <c r="H64">
        <v>1400</v>
      </c>
      <c r="I64">
        <v>1150</v>
      </c>
      <c r="J64">
        <v>2400</v>
      </c>
      <c r="K64">
        <v>600</v>
      </c>
      <c r="L64">
        <v>1200</v>
      </c>
      <c r="M64">
        <v>1800</v>
      </c>
      <c r="N64">
        <v>600</v>
      </c>
      <c r="O64">
        <v>1650</v>
      </c>
      <c r="P64">
        <v>66.3</v>
      </c>
      <c r="U64" t="s">
        <v>18</v>
      </c>
    </row>
    <row r="65" spans="1:21" x14ac:dyDescent="0.25">
      <c r="A65" t="s">
        <v>15</v>
      </c>
      <c r="B65" t="s">
        <v>19</v>
      </c>
      <c r="C65" t="s">
        <v>20</v>
      </c>
      <c r="D65">
        <v>100</v>
      </c>
      <c r="E65" s="2">
        <f t="shared" si="1"/>
        <v>1000</v>
      </c>
      <c r="F65">
        <v>650</v>
      </c>
      <c r="G65">
        <v>600</v>
      </c>
      <c r="H65">
        <v>650</v>
      </c>
      <c r="I65">
        <v>600</v>
      </c>
      <c r="J65">
        <v>800</v>
      </c>
      <c r="K65">
        <v>150</v>
      </c>
      <c r="L65">
        <v>600</v>
      </c>
      <c r="M65">
        <v>450</v>
      </c>
      <c r="N65">
        <v>150</v>
      </c>
      <c r="O65">
        <v>150</v>
      </c>
      <c r="P65">
        <v>20</v>
      </c>
      <c r="U65" t="s">
        <v>21</v>
      </c>
    </row>
    <row r="66" spans="1:21" x14ac:dyDescent="0.25">
      <c r="A66" t="s">
        <v>15</v>
      </c>
      <c r="B66" t="s">
        <v>22</v>
      </c>
      <c r="C66" t="s">
        <v>23</v>
      </c>
      <c r="D66">
        <v>500</v>
      </c>
      <c r="E66" s="2">
        <f t="shared" si="1"/>
        <v>5000</v>
      </c>
      <c r="F66">
        <v>1200</v>
      </c>
      <c r="G66">
        <v>1200</v>
      </c>
      <c r="H66">
        <v>840</v>
      </c>
      <c r="I66">
        <v>840</v>
      </c>
      <c r="J66">
        <v>1560</v>
      </c>
      <c r="K66">
        <v>300</v>
      </c>
      <c r="L66">
        <v>860</v>
      </c>
      <c r="M66">
        <v>700</v>
      </c>
      <c r="N66">
        <v>300</v>
      </c>
      <c r="O66">
        <v>750</v>
      </c>
      <c r="P66">
        <v>44.7</v>
      </c>
      <c r="U66" t="s">
        <v>24</v>
      </c>
    </row>
    <row r="67" spans="1:21" x14ac:dyDescent="0.25">
      <c r="A67" t="s">
        <v>15</v>
      </c>
      <c r="B67" t="s">
        <v>22</v>
      </c>
      <c r="C67" t="s">
        <v>25</v>
      </c>
      <c r="D67">
        <v>60</v>
      </c>
      <c r="E67" s="2">
        <f t="shared" si="1"/>
        <v>600</v>
      </c>
      <c r="F67">
        <v>650</v>
      </c>
      <c r="G67">
        <v>430</v>
      </c>
      <c r="H67">
        <v>650</v>
      </c>
      <c r="I67">
        <v>430</v>
      </c>
      <c r="J67">
        <v>520</v>
      </c>
      <c r="K67">
        <v>190</v>
      </c>
      <c r="L67">
        <v>520</v>
      </c>
      <c r="M67">
        <v>330</v>
      </c>
      <c r="N67">
        <v>190</v>
      </c>
      <c r="O67">
        <v>90</v>
      </c>
      <c r="P67">
        <v>15.5</v>
      </c>
      <c r="U67" t="s">
        <v>26</v>
      </c>
    </row>
    <row r="68" spans="1:21" x14ac:dyDescent="0.25">
      <c r="A68" t="s">
        <v>15</v>
      </c>
      <c r="B68" t="s">
        <v>27</v>
      </c>
      <c r="C68" t="s">
        <v>28</v>
      </c>
      <c r="D68">
        <v>380</v>
      </c>
      <c r="E68" s="2">
        <f t="shared" si="1"/>
        <v>3800</v>
      </c>
      <c r="F68">
        <v>1050</v>
      </c>
      <c r="G68">
        <v>950</v>
      </c>
      <c r="H68">
        <v>1050</v>
      </c>
      <c r="I68">
        <v>950</v>
      </c>
      <c r="O68">
        <v>570</v>
      </c>
      <c r="P68">
        <v>39</v>
      </c>
      <c r="U68" t="s">
        <v>29</v>
      </c>
    </row>
    <row r="69" spans="1:21" x14ac:dyDescent="0.25">
      <c r="A69" t="s">
        <v>15</v>
      </c>
      <c r="B69" t="s">
        <v>246</v>
      </c>
      <c r="C69" t="s">
        <v>247</v>
      </c>
      <c r="D69">
        <v>40</v>
      </c>
      <c r="E69" s="2">
        <f t="shared" si="1"/>
        <v>400</v>
      </c>
      <c r="F69">
        <v>442</v>
      </c>
      <c r="G69">
        <v>442</v>
      </c>
      <c r="H69">
        <v>375</v>
      </c>
      <c r="I69">
        <v>375</v>
      </c>
      <c r="J69">
        <v>795</v>
      </c>
      <c r="K69">
        <v>176</v>
      </c>
      <c r="L69">
        <v>530</v>
      </c>
      <c r="M69">
        <v>353</v>
      </c>
      <c r="N69">
        <v>529</v>
      </c>
      <c r="O69">
        <v>60</v>
      </c>
      <c r="P69">
        <v>12.6</v>
      </c>
      <c r="U69" t="s">
        <v>248</v>
      </c>
    </row>
    <row r="70" spans="1:21" x14ac:dyDescent="0.25">
      <c r="A70" t="s">
        <v>15</v>
      </c>
      <c r="B70" t="s">
        <v>246</v>
      </c>
      <c r="C70" t="s">
        <v>249</v>
      </c>
      <c r="D70">
        <v>50</v>
      </c>
      <c r="E70" s="2">
        <f t="shared" si="1"/>
        <v>500</v>
      </c>
      <c r="F70">
        <v>494</v>
      </c>
      <c r="G70">
        <v>494</v>
      </c>
      <c r="H70">
        <v>419</v>
      </c>
      <c r="I70">
        <v>419</v>
      </c>
      <c r="J70">
        <v>889</v>
      </c>
      <c r="K70">
        <v>197</v>
      </c>
      <c r="L70">
        <v>592</v>
      </c>
      <c r="M70">
        <v>395</v>
      </c>
      <c r="N70">
        <v>592</v>
      </c>
      <c r="O70">
        <v>75</v>
      </c>
      <c r="P70">
        <v>14.1</v>
      </c>
      <c r="U70" t="s">
        <v>248</v>
      </c>
    </row>
    <row r="71" spans="1:21" x14ac:dyDescent="0.25">
      <c r="A71" t="s">
        <v>15</v>
      </c>
      <c r="B71" t="s">
        <v>246</v>
      </c>
      <c r="C71" t="s">
        <v>250</v>
      </c>
      <c r="D71">
        <v>80</v>
      </c>
      <c r="E71" s="2">
        <f t="shared" si="1"/>
        <v>800</v>
      </c>
      <c r="F71">
        <v>626</v>
      </c>
      <c r="G71">
        <v>626</v>
      </c>
      <c r="H71">
        <v>532</v>
      </c>
      <c r="I71">
        <v>532</v>
      </c>
      <c r="J71">
        <v>1126</v>
      </c>
      <c r="K71">
        <v>250</v>
      </c>
      <c r="L71">
        <v>751</v>
      </c>
      <c r="M71">
        <v>500</v>
      </c>
      <c r="N71">
        <v>750</v>
      </c>
      <c r="O71">
        <v>120</v>
      </c>
      <c r="P71">
        <v>17.899999999999999</v>
      </c>
      <c r="U71" t="s">
        <v>248</v>
      </c>
    </row>
    <row r="72" spans="1:21" x14ac:dyDescent="0.25">
      <c r="A72" t="s">
        <v>15</v>
      </c>
      <c r="B72" t="s">
        <v>246</v>
      </c>
      <c r="C72" t="s">
        <v>251</v>
      </c>
      <c r="D72">
        <v>100</v>
      </c>
      <c r="E72" s="2">
        <f t="shared" si="1"/>
        <v>1000</v>
      </c>
      <c r="F72">
        <v>700</v>
      </c>
      <c r="G72">
        <v>700</v>
      </c>
      <c r="H72">
        <v>595</v>
      </c>
      <c r="I72">
        <v>595</v>
      </c>
      <c r="J72">
        <v>1260</v>
      </c>
      <c r="K72">
        <v>280</v>
      </c>
      <c r="L72">
        <v>840</v>
      </c>
      <c r="M72">
        <v>560</v>
      </c>
      <c r="N72">
        <v>840</v>
      </c>
      <c r="O72">
        <v>150</v>
      </c>
      <c r="P72">
        <v>20</v>
      </c>
      <c r="U72" t="s">
        <v>248</v>
      </c>
    </row>
    <row r="73" spans="1:21" x14ac:dyDescent="0.25">
      <c r="A73" t="s">
        <v>15</v>
      </c>
      <c r="B73" t="s">
        <v>246</v>
      </c>
      <c r="C73" t="s">
        <v>252</v>
      </c>
      <c r="D73">
        <v>130</v>
      </c>
      <c r="E73" s="2">
        <f>D73*10</f>
        <v>1300</v>
      </c>
      <c r="F73">
        <v>798</v>
      </c>
      <c r="G73">
        <v>798</v>
      </c>
      <c r="H73">
        <v>678</v>
      </c>
      <c r="I73">
        <v>678</v>
      </c>
      <c r="J73">
        <v>1436</v>
      </c>
      <c r="K73">
        <v>319</v>
      </c>
      <c r="L73">
        <v>957</v>
      </c>
      <c r="M73">
        <v>638</v>
      </c>
      <c r="N73">
        <v>957</v>
      </c>
      <c r="O73">
        <v>195</v>
      </c>
      <c r="P73">
        <v>22.8</v>
      </c>
      <c r="U73" t="s">
        <v>248</v>
      </c>
    </row>
    <row r="74" spans="1:21" x14ac:dyDescent="0.25">
      <c r="A74" t="s">
        <v>15</v>
      </c>
      <c r="B74" t="s">
        <v>246</v>
      </c>
      <c r="C74" t="s">
        <v>253</v>
      </c>
      <c r="D74">
        <v>160</v>
      </c>
      <c r="E74" s="2">
        <f t="shared" si="1"/>
        <v>1600</v>
      </c>
      <c r="F74">
        <v>885</v>
      </c>
      <c r="G74">
        <v>885</v>
      </c>
      <c r="H74">
        <v>752</v>
      </c>
      <c r="I74">
        <v>752</v>
      </c>
      <c r="J74">
        <v>1593</v>
      </c>
      <c r="K74">
        <v>354</v>
      </c>
      <c r="L74">
        <v>1062</v>
      </c>
      <c r="M74">
        <v>708</v>
      </c>
      <c r="N74">
        <v>1062</v>
      </c>
      <c r="O74">
        <v>240</v>
      </c>
      <c r="P74">
        <v>25.3</v>
      </c>
      <c r="U74" t="s">
        <v>248</v>
      </c>
    </row>
    <row r="75" spans="1:21" x14ac:dyDescent="0.25">
      <c r="A75" t="s">
        <v>15</v>
      </c>
      <c r="B75" t="s">
        <v>246</v>
      </c>
      <c r="C75" t="s">
        <v>254</v>
      </c>
      <c r="D75">
        <v>180</v>
      </c>
      <c r="E75" s="2">
        <f t="shared" si="1"/>
        <v>1800</v>
      </c>
      <c r="F75">
        <v>939</v>
      </c>
      <c r="G75">
        <v>939</v>
      </c>
      <c r="H75">
        <v>798</v>
      </c>
      <c r="I75">
        <v>798</v>
      </c>
      <c r="J75">
        <v>1690</v>
      </c>
      <c r="K75">
        <v>375</v>
      </c>
      <c r="L75">
        <v>1126</v>
      </c>
      <c r="M75">
        <v>751</v>
      </c>
      <c r="N75">
        <v>1126</v>
      </c>
      <c r="O75">
        <v>270</v>
      </c>
      <c r="P75">
        <v>26.8</v>
      </c>
      <c r="U75" t="s">
        <v>248</v>
      </c>
    </row>
    <row r="76" spans="1:21" x14ac:dyDescent="0.25">
      <c r="A76" t="s">
        <v>15</v>
      </c>
      <c r="B76" t="s">
        <v>246</v>
      </c>
      <c r="C76" t="s">
        <v>255</v>
      </c>
      <c r="D76">
        <v>200</v>
      </c>
      <c r="E76" s="2">
        <f t="shared" si="1"/>
        <v>2000</v>
      </c>
      <c r="F76">
        <v>989</v>
      </c>
      <c r="G76">
        <v>989</v>
      </c>
      <c r="H76">
        <v>840</v>
      </c>
      <c r="I76">
        <v>840</v>
      </c>
      <c r="J76">
        <v>1780</v>
      </c>
      <c r="K76">
        <v>395</v>
      </c>
      <c r="L76">
        <v>1186</v>
      </c>
      <c r="M76">
        <v>791</v>
      </c>
      <c r="N76">
        <v>1186</v>
      </c>
      <c r="O76">
        <v>300</v>
      </c>
      <c r="P76">
        <v>28.3</v>
      </c>
      <c r="U76" t="s">
        <v>248</v>
      </c>
    </row>
    <row r="77" spans="1:21" x14ac:dyDescent="0.25">
      <c r="A77" t="s">
        <v>15</v>
      </c>
      <c r="B77" t="s">
        <v>246</v>
      </c>
      <c r="C77" t="s">
        <v>256</v>
      </c>
      <c r="D77">
        <v>220</v>
      </c>
      <c r="E77" s="2">
        <f t="shared" si="1"/>
        <v>2200</v>
      </c>
      <c r="F77">
        <v>1038</v>
      </c>
      <c r="G77">
        <v>1038</v>
      </c>
      <c r="H77">
        <v>882</v>
      </c>
      <c r="I77">
        <v>882</v>
      </c>
      <c r="J77">
        <v>1868</v>
      </c>
      <c r="K77">
        <v>415</v>
      </c>
      <c r="L77">
        <v>1245</v>
      </c>
      <c r="M77">
        <v>830</v>
      </c>
      <c r="N77">
        <v>1245</v>
      </c>
      <c r="O77">
        <v>330</v>
      </c>
      <c r="P77">
        <v>29.7</v>
      </c>
      <c r="U77" t="s">
        <v>248</v>
      </c>
    </row>
    <row r="78" spans="1:21" x14ac:dyDescent="0.25">
      <c r="A78" t="s">
        <v>15</v>
      </c>
      <c r="B78" t="s">
        <v>246</v>
      </c>
      <c r="C78" t="s">
        <v>257</v>
      </c>
      <c r="D78">
        <v>280</v>
      </c>
      <c r="E78" s="2">
        <f t="shared" si="1"/>
        <v>2800</v>
      </c>
      <c r="F78">
        <v>1171</v>
      </c>
      <c r="G78">
        <v>1171</v>
      </c>
      <c r="H78">
        <v>995</v>
      </c>
      <c r="I78">
        <v>995</v>
      </c>
      <c r="J78">
        <v>2107</v>
      </c>
      <c r="K78">
        <v>468</v>
      </c>
      <c r="L78">
        <v>1405</v>
      </c>
      <c r="M78">
        <v>936</v>
      </c>
      <c r="N78">
        <v>1404</v>
      </c>
      <c r="O78">
        <v>420</v>
      </c>
      <c r="P78">
        <v>33.5</v>
      </c>
      <c r="U78" t="s">
        <v>248</v>
      </c>
    </row>
    <row r="79" spans="1:21" x14ac:dyDescent="0.25">
      <c r="A79" t="s">
        <v>15</v>
      </c>
      <c r="B79" t="s">
        <v>246</v>
      </c>
      <c r="C79" t="s">
        <v>258</v>
      </c>
      <c r="D79">
        <v>380</v>
      </c>
      <c r="E79" s="2">
        <f t="shared" si="1"/>
        <v>3800</v>
      </c>
      <c r="F79">
        <v>1364</v>
      </c>
      <c r="G79">
        <v>1364</v>
      </c>
      <c r="H79">
        <v>1159</v>
      </c>
      <c r="I79">
        <v>1159</v>
      </c>
      <c r="J79">
        <v>2455</v>
      </c>
      <c r="K79">
        <v>545</v>
      </c>
      <c r="L79">
        <v>1636</v>
      </c>
      <c r="M79">
        <v>1091</v>
      </c>
      <c r="N79">
        <v>1636</v>
      </c>
      <c r="O79">
        <v>570</v>
      </c>
      <c r="P79">
        <v>39</v>
      </c>
      <c r="U79" t="s">
        <v>248</v>
      </c>
    </row>
    <row r="80" spans="1:21" x14ac:dyDescent="0.25">
      <c r="A80" t="s">
        <v>15</v>
      </c>
      <c r="B80" t="s">
        <v>246</v>
      </c>
      <c r="C80" t="s">
        <v>259</v>
      </c>
      <c r="D80">
        <v>450</v>
      </c>
      <c r="E80" s="2">
        <f t="shared" si="1"/>
        <v>4500</v>
      </c>
      <c r="F80">
        <v>1484</v>
      </c>
      <c r="G80">
        <v>1484</v>
      </c>
      <c r="H80">
        <v>1261</v>
      </c>
      <c r="I80">
        <v>1261</v>
      </c>
      <c r="J80">
        <v>2671</v>
      </c>
      <c r="K80">
        <v>593</v>
      </c>
      <c r="L80">
        <v>1780</v>
      </c>
      <c r="M80">
        <v>1187</v>
      </c>
      <c r="N80">
        <v>1780</v>
      </c>
      <c r="O80">
        <v>675</v>
      </c>
      <c r="P80">
        <v>42.4</v>
      </c>
      <c r="U80" t="s">
        <v>248</v>
      </c>
    </row>
    <row r="81" spans="1:21" x14ac:dyDescent="0.25">
      <c r="A81" t="s">
        <v>15</v>
      </c>
      <c r="B81" t="s">
        <v>246</v>
      </c>
      <c r="C81" t="s">
        <v>260</v>
      </c>
      <c r="D81">
        <v>550</v>
      </c>
      <c r="E81" s="2">
        <f t="shared" si="1"/>
        <v>5500</v>
      </c>
      <c r="F81">
        <v>1641</v>
      </c>
      <c r="G81">
        <v>1641</v>
      </c>
      <c r="H81">
        <v>1394</v>
      </c>
      <c r="I81">
        <v>1394</v>
      </c>
      <c r="J81">
        <v>2953</v>
      </c>
      <c r="K81">
        <v>656</v>
      </c>
      <c r="L81">
        <v>1969</v>
      </c>
      <c r="M81">
        <v>1312</v>
      </c>
      <c r="N81">
        <v>1968</v>
      </c>
      <c r="O81">
        <v>825</v>
      </c>
      <c r="P81">
        <v>46.9</v>
      </c>
      <c r="U81" t="s">
        <v>248</v>
      </c>
    </row>
    <row r="82" spans="1:21" x14ac:dyDescent="0.25">
      <c r="A82" t="s">
        <v>15</v>
      </c>
      <c r="B82" t="s">
        <v>246</v>
      </c>
      <c r="C82" t="s">
        <v>261</v>
      </c>
      <c r="D82">
        <v>700</v>
      </c>
      <c r="E82" s="2">
        <f t="shared" si="1"/>
        <v>7000</v>
      </c>
      <c r="F82">
        <v>1852</v>
      </c>
      <c r="G82">
        <v>1852</v>
      </c>
      <c r="H82">
        <v>1574</v>
      </c>
      <c r="I82">
        <v>1574</v>
      </c>
      <c r="J82">
        <v>3333</v>
      </c>
      <c r="K82">
        <v>740</v>
      </c>
      <c r="L82">
        <v>2222</v>
      </c>
      <c r="M82">
        <v>1481</v>
      </c>
      <c r="N82">
        <v>2221</v>
      </c>
      <c r="O82">
        <v>1050</v>
      </c>
      <c r="P82">
        <v>52.9</v>
      </c>
      <c r="U82" t="s">
        <v>248</v>
      </c>
    </row>
    <row r="83" spans="1:21" x14ac:dyDescent="0.25">
      <c r="A83" t="s">
        <v>15</v>
      </c>
      <c r="B83" t="s">
        <v>246</v>
      </c>
      <c r="C83" t="s">
        <v>262</v>
      </c>
      <c r="D83">
        <v>900</v>
      </c>
      <c r="E83" s="2">
        <f t="shared" si="1"/>
        <v>9000</v>
      </c>
      <c r="F83">
        <v>2100</v>
      </c>
      <c r="G83">
        <v>2100</v>
      </c>
      <c r="H83">
        <v>1785</v>
      </c>
      <c r="I83">
        <v>1785</v>
      </c>
      <c r="J83">
        <v>3780</v>
      </c>
      <c r="K83">
        <v>840</v>
      </c>
      <c r="L83">
        <v>2520</v>
      </c>
      <c r="M83">
        <v>1680</v>
      </c>
      <c r="N83">
        <v>2520</v>
      </c>
      <c r="O83">
        <v>1350</v>
      </c>
      <c r="P83">
        <v>60</v>
      </c>
      <c r="U83" t="s">
        <v>248</v>
      </c>
    </row>
    <row r="84" spans="1:21" x14ac:dyDescent="0.25">
      <c r="A84" t="s">
        <v>15</v>
      </c>
      <c r="B84" t="s">
        <v>246</v>
      </c>
      <c r="C84" t="s">
        <v>263</v>
      </c>
      <c r="D84">
        <v>1100</v>
      </c>
      <c r="E84" s="2">
        <f t="shared" si="1"/>
        <v>11000</v>
      </c>
      <c r="F84">
        <v>2321</v>
      </c>
      <c r="G84">
        <v>2321</v>
      </c>
      <c r="H84">
        <v>1972</v>
      </c>
      <c r="I84">
        <v>1972</v>
      </c>
      <c r="J84">
        <v>4177</v>
      </c>
      <c r="K84">
        <v>928</v>
      </c>
      <c r="L84">
        <v>2785</v>
      </c>
      <c r="M84">
        <v>1856</v>
      </c>
      <c r="N84">
        <v>2784</v>
      </c>
      <c r="O84">
        <v>1650</v>
      </c>
      <c r="P84">
        <v>66.3</v>
      </c>
      <c r="U84" t="s">
        <v>248</v>
      </c>
    </row>
    <row r="85" spans="1:21" x14ac:dyDescent="0.25">
      <c r="A85" t="s">
        <v>15</v>
      </c>
      <c r="B85" t="s">
        <v>246</v>
      </c>
      <c r="C85" t="s">
        <v>264</v>
      </c>
      <c r="D85">
        <v>1500</v>
      </c>
      <c r="E85" s="2">
        <f t="shared" si="1"/>
        <v>15000</v>
      </c>
      <c r="F85">
        <v>2711</v>
      </c>
      <c r="G85">
        <v>2711</v>
      </c>
      <c r="H85">
        <v>2304</v>
      </c>
      <c r="I85">
        <v>2304</v>
      </c>
      <c r="J85">
        <v>4879</v>
      </c>
      <c r="K85">
        <v>1084</v>
      </c>
      <c r="L85">
        <v>3253</v>
      </c>
      <c r="M85">
        <v>2168</v>
      </c>
      <c r="N85">
        <v>3252</v>
      </c>
      <c r="O85">
        <v>2250</v>
      </c>
      <c r="P85">
        <v>77.5</v>
      </c>
      <c r="U85" t="s">
        <v>248</v>
      </c>
    </row>
    <row r="86" spans="1:21" x14ac:dyDescent="0.25">
      <c r="A86" t="s">
        <v>15</v>
      </c>
      <c r="B86" t="s">
        <v>246</v>
      </c>
      <c r="C86" t="s">
        <v>265</v>
      </c>
      <c r="D86">
        <v>2000</v>
      </c>
      <c r="E86" s="2">
        <f t="shared" si="1"/>
        <v>20000</v>
      </c>
      <c r="F86">
        <v>3130</v>
      </c>
      <c r="G86">
        <v>3130</v>
      </c>
      <c r="H86">
        <v>2660</v>
      </c>
      <c r="I86">
        <v>2660</v>
      </c>
      <c r="J86">
        <v>5634</v>
      </c>
      <c r="K86">
        <v>1252</v>
      </c>
      <c r="L86">
        <v>3756</v>
      </c>
      <c r="M86">
        <v>2504</v>
      </c>
      <c r="N86">
        <v>3756</v>
      </c>
      <c r="O86">
        <v>3000</v>
      </c>
      <c r="P86">
        <v>89.4</v>
      </c>
      <c r="U86" t="s">
        <v>248</v>
      </c>
    </row>
    <row r="87" spans="1:21" x14ac:dyDescent="0.25">
      <c r="A87" t="s">
        <v>15</v>
      </c>
      <c r="B87" t="s">
        <v>246</v>
      </c>
      <c r="C87" t="s">
        <v>266</v>
      </c>
      <c r="D87">
        <v>3000</v>
      </c>
      <c r="E87" s="2">
        <f t="shared" si="1"/>
        <v>30000</v>
      </c>
      <c r="F87">
        <v>3834</v>
      </c>
      <c r="G87">
        <v>3834</v>
      </c>
      <c r="H87">
        <v>3258</v>
      </c>
      <c r="I87">
        <v>3258</v>
      </c>
      <c r="J87">
        <v>6901</v>
      </c>
      <c r="K87">
        <v>1533</v>
      </c>
      <c r="L87">
        <v>4600</v>
      </c>
      <c r="M87">
        <v>3067</v>
      </c>
      <c r="N87">
        <v>4600</v>
      </c>
      <c r="O87">
        <v>4500</v>
      </c>
      <c r="P87">
        <v>109.5</v>
      </c>
      <c r="U87" t="s">
        <v>248</v>
      </c>
    </row>
    <row r="88" spans="1:21" x14ac:dyDescent="0.25">
      <c r="A88" t="s">
        <v>15</v>
      </c>
      <c r="B88" t="s">
        <v>270</v>
      </c>
      <c r="C88" t="s">
        <v>271</v>
      </c>
      <c r="D88">
        <v>100</v>
      </c>
      <c r="E88" s="2">
        <f t="shared" si="1"/>
        <v>1000</v>
      </c>
      <c r="F88">
        <v>650</v>
      </c>
      <c r="G88">
        <v>600</v>
      </c>
      <c r="H88">
        <v>460</v>
      </c>
      <c r="I88">
        <v>410</v>
      </c>
      <c r="J88">
        <v>800</v>
      </c>
      <c r="K88">
        <v>150</v>
      </c>
      <c r="L88">
        <v>450</v>
      </c>
      <c r="M88">
        <v>350</v>
      </c>
      <c r="N88">
        <v>150</v>
      </c>
      <c r="O88">
        <v>202</v>
      </c>
      <c r="P88">
        <v>40</v>
      </c>
      <c r="U88" t="s">
        <v>272</v>
      </c>
    </row>
    <row r="89" spans="1:21" x14ac:dyDescent="0.25">
      <c r="A89" t="s">
        <v>15</v>
      </c>
      <c r="B89" t="s">
        <v>270</v>
      </c>
      <c r="C89" t="s">
        <v>273</v>
      </c>
      <c r="D89">
        <v>130</v>
      </c>
      <c r="E89" s="2">
        <f t="shared" si="1"/>
        <v>1300</v>
      </c>
      <c r="H89">
        <v>530</v>
      </c>
      <c r="I89">
        <v>530</v>
      </c>
      <c r="K89">
        <v>150</v>
      </c>
      <c r="M89">
        <v>400</v>
      </c>
      <c r="N89">
        <v>150</v>
      </c>
      <c r="O89">
        <v>250</v>
      </c>
      <c r="P89" t="s">
        <v>274</v>
      </c>
      <c r="U89" t="s">
        <v>275</v>
      </c>
    </row>
    <row r="90" spans="1:21" x14ac:dyDescent="0.25">
      <c r="A90" t="s">
        <v>15</v>
      </c>
      <c r="B90" t="s">
        <v>270</v>
      </c>
      <c r="C90" t="s">
        <v>276</v>
      </c>
      <c r="D90">
        <v>180</v>
      </c>
      <c r="E90" s="2">
        <f t="shared" si="1"/>
        <v>1800</v>
      </c>
      <c r="H90">
        <v>570</v>
      </c>
      <c r="I90">
        <v>570</v>
      </c>
      <c r="K90">
        <v>150</v>
      </c>
      <c r="M90">
        <v>450</v>
      </c>
      <c r="N90">
        <v>150</v>
      </c>
      <c r="O90">
        <v>300</v>
      </c>
      <c r="P90" t="s">
        <v>277</v>
      </c>
      <c r="U90" t="s">
        <v>278</v>
      </c>
    </row>
    <row r="91" spans="1:21" x14ac:dyDescent="0.25">
      <c r="A91" t="s">
        <v>15</v>
      </c>
      <c r="B91" t="s">
        <v>270</v>
      </c>
      <c r="C91" t="s">
        <v>279</v>
      </c>
      <c r="D91">
        <v>220</v>
      </c>
      <c r="E91" s="2">
        <f t="shared" si="1"/>
        <v>2200</v>
      </c>
      <c r="H91">
        <v>650</v>
      </c>
      <c r="I91">
        <v>650</v>
      </c>
      <c r="K91">
        <v>150</v>
      </c>
      <c r="M91">
        <v>500</v>
      </c>
      <c r="N91">
        <v>150</v>
      </c>
      <c r="O91">
        <v>350</v>
      </c>
      <c r="P91" t="s">
        <v>280</v>
      </c>
      <c r="U91" t="s">
        <v>281</v>
      </c>
    </row>
    <row r="92" spans="1:21" x14ac:dyDescent="0.25">
      <c r="A92" t="s">
        <v>15</v>
      </c>
      <c r="B92" t="s">
        <v>270</v>
      </c>
      <c r="C92" t="s">
        <v>282</v>
      </c>
      <c r="D92">
        <v>500</v>
      </c>
      <c r="E92" s="2">
        <f t="shared" ref="E92:E94" si="2">D92*10</f>
        <v>5000</v>
      </c>
      <c r="H92">
        <v>830</v>
      </c>
      <c r="I92">
        <v>830</v>
      </c>
      <c r="K92">
        <v>150</v>
      </c>
      <c r="M92">
        <v>700</v>
      </c>
      <c r="N92">
        <v>150</v>
      </c>
      <c r="O92">
        <v>600</v>
      </c>
      <c r="P92" t="s">
        <v>283</v>
      </c>
      <c r="U92" t="s">
        <v>284</v>
      </c>
    </row>
    <row r="93" spans="1:21" x14ac:dyDescent="0.25">
      <c r="A93" t="s">
        <v>15</v>
      </c>
      <c r="B93" t="s">
        <v>270</v>
      </c>
      <c r="C93" t="s">
        <v>285</v>
      </c>
      <c r="D93">
        <v>85</v>
      </c>
      <c r="E93" s="2">
        <f t="shared" si="2"/>
        <v>850</v>
      </c>
      <c r="H93">
        <v>470</v>
      </c>
      <c r="I93">
        <v>420</v>
      </c>
      <c r="K93">
        <v>150</v>
      </c>
      <c r="M93">
        <v>320</v>
      </c>
      <c r="N93">
        <v>150</v>
      </c>
      <c r="O93">
        <v>23</v>
      </c>
      <c r="P93">
        <v>20</v>
      </c>
    </row>
    <row r="94" spans="1:21" x14ac:dyDescent="0.25">
      <c r="A94" t="s">
        <v>153</v>
      </c>
      <c r="B94" t="s">
        <v>154</v>
      </c>
      <c r="C94" t="s">
        <v>155</v>
      </c>
      <c r="D94">
        <v>130</v>
      </c>
      <c r="E94" s="2">
        <f t="shared" si="2"/>
        <v>1300</v>
      </c>
      <c r="F94">
        <v>750</v>
      </c>
      <c r="G94">
        <v>700</v>
      </c>
      <c r="H94">
        <v>500</v>
      </c>
      <c r="I94">
        <v>500</v>
      </c>
      <c r="J94">
        <v>800</v>
      </c>
      <c r="K94">
        <v>250</v>
      </c>
      <c r="L94">
        <v>550</v>
      </c>
      <c r="M94">
        <v>500</v>
      </c>
      <c r="O94">
        <v>195</v>
      </c>
      <c r="P94">
        <v>22.8</v>
      </c>
      <c r="U94" t="s">
        <v>156</v>
      </c>
    </row>
    <row r="95" spans="1:21" x14ac:dyDescent="0.25">
      <c r="A95" t="s">
        <v>153</v>
      </c>
      <c r="B95" t="s">
        <v>154</v>
      </c>
      <c r="C95" t="s">
        <v>157</v>
      </c>
      <c r="D95">
        <v>180</v>
      </c>
      <c r="E95" s="2">
        <f>D95*10</f>
        <v>1800</v>
      </c>
      <c r="F95">
        <v>850</v>
      </c>
      <c r="G95">
        <v>800</v>
      </c>
      <c r="H95">
        <v>580</v>
      </c>
      <c r="I95">
        <v>580</v>
      </c>
      <c r="J95">
        <v>900</v>
      </c>
      <c r="K95">
        <v>300</v>
      </c>
      <c r="L95">
        <v>600</v>
      </c>
      <c r="M95">
        <v>600</v>
      </c>
      <c r="O95">
        <v>270</v>
      </c>
      <c r="P95">
        <v>26.8</v>
      </c>
      <c r="U95" t="s">
        <v>158</v>
      </c>
    </row>
    <row r="96" spans="1:21" x14ac:dyDescent="0.25">
      <c r="A96" t="s">
        <v>153</v>
      </c>
      <c r="B96" t="s">
        <v>154</v>
      </c>
      <c r="C96" t="s">
        <v>159</v>
      </c>
      <c r="D96">
        <v>220</v>
      </c>
      <c r="E96" s="2">
        <f t="shared" ref="E96:E114" si="3">D96*10</f>
        <v>2200</v>
      </c>
      <c r="F96">
        <v>900</v>
      </c>
      <c r="G96">
        <v>850</v>
      </c>
      <c r="H96">
        <v>610</v>
      </c>
      <c r="I96">
        <v>610</v>
      </c>
      <c r="J96">
        <v>1000</v>
      </c>
      <c r="K96">
        <v>300</v>
      </c>
      <c r="L96">
        <v>700</v>
      </c>
      <c r="M96">
        <v>650</v>
      </c>
      <c r="O96">
        <v>330</v>
      </c>
      <c r="P96">
        <v>29.7</v>
      </c>
      <c r="U96" t="s">
        <v>160</v>
      </c>
    </row>
    <row r="97" spans="1:21" x14ac:dyDescent="0.25">
      <c r="A97" t="s">
        <v>153</v>
      </c>
      <c r="B97" t="s">
        <v>154</v>
      </c>
      <c r="C97" t="s">
        <v>161</v>
      </c>
      <c r="D97">
        <v>280</v>
      </c>
      <c r="E97" s="2">
        <f t="shared" si="3"/>
        <v>2800</v>
      </c>
      <c r="F97">
        <v>950</v>
      </c>
      <c r="G97">
        <v>900</v>
      </c>
      <c r="H97">
        <v>660</v>
      </c>
      <c r="I97">
        <v>660</v>
      </c>
      <c r="J97">
        <v>1100</v>
      </c>
      <c r="K97">
        <v>350</v>
      </c>
      <c r="L97">
        <v>750</v>
      </c>
      <c r="M97">
        <v>700</v>
      </c>
      <c r="O97">
        <v>420</v>
      </c>
      <c r="P97">
        <v>33.5</v>
      </c>
      <c r="U97" t="s">
        <v>162</v>
      </c>
    </row>
    <row r="98" spans="1:21" x14ac:dyDescent="0.25">
      <c r="A98" t="s">
        <v>153</v>
      </c>
      <c r="B98" t="s">
        <v>154</v>
      </c>
      <c r="C98" t="s">
        <v>163</v>
      </c>
      <c r="D98">
        <v>350</v>
      </c>
      <c r="E98" s="2">
        <f t="shared" si="3"/>
        <v>3500</v>
      </c>
      <c r="F98">
        <v>1050</v>
      </c>
      <c r="G98">
        <v>950</v>
      </c>
      <c r="H98">
        <v>710</v>
      </c>
      <c r="I98">
        <v>710</v>
      </c>
      <c r="J98">
        <v>1200</v>
      </c>
      <c r="K98">
        <v>400</v>
      </c>
      <c r="L98">
        <v>800</v>
      </c>
      <c r="M98">
        <v>800</v>
      </c>
      <c r="O98">
        <v>525</v>
      </c>
      <c r="P98">
        <v>37.4</v>
      </c>
      <c r="U98" t="s">
        <v>164</v>
      </c>
    </row>
    <row r="99" spans="1:21" x14ac:dyDescent="0.25">
      <c r="A99" t="s">
        <v>153</v>
      </c>
      <c r="B99" t="s">
        <v>154</v>
      </c>
      <c r="C99" t="s">
        <v>165</v>
      </c>
      <c r="D99">
        <v>420</v>
      </c>
      <c r="E99" s="2">
        <f t="shared" si="3"/>
        <v>4200</v>
      </c>
      <c r="F99">
        <v>1150</v>
      </c>
      <c r="G99">
        <v>1050</v>
      </c>
      <c r="H99">
        <v>820</v>
      </c>
      <c r="I99">
        <v>820</v>
      </c>
      <c r="J99">
        <v>1300</v>
      </c>
      <c r="K99">
        <v>400</v>
      </c>
      <c r="L99">
        <v>900</v>
      </c>
      <c r="M99">
        <v>900</v>
      </c>
      <c r="O99">
        <v>630</v>
      </c>
      <c r="P99">
        <v>41</v>
      </c>
      <c r="U99" t="s">
        <v>162</v>
      </c>
    </row>
    <row r="100" spans="1:21" x14ac:dyDescent="0.25">
      <c r="A100" t="s">
        <v>153</v>
      </c>
      <c r="B100" t="s">
        <v>154</v>
      </c>
      <c r="C100" t="s">
        <v>166</v>
      </c>
      <c r="D100">
        <v>520</v>
      </c>
      <c r="E100" s="2">
        <f t="shared" si="3"/>
        <v>5200</v>
      </c>
      <c r="F100">
        <v>1250</v>
      </c>
      <c r="G100">
        <v>1150</v>
      </c>
      <c r="H100">
        <v>920</v>
      </c>
      <c r="I100">
        <v>920</v>
      </c>
      <c r="J100">
        <v>1400</v>
      </c>
      <c r="K100">
        <v>450</v>
      </c>
      <c r="L100">
        <v>1000</v>
      </c>
      <c r="M100">
        <v>1000</v>
      </c>
      <c r="O100">
        <v>780</v>
      </c>
      <c r="P100">
        <v>45.6</v>
      </c>
      <c r="U100" t="s">
        <v>167</v>
      </c>
    </row>
    <row r="101" spans="1:21" x14ac:dyDescent="0.25">
      <c r="A101" t="s">
        <v>153</v>
      </c>
      <c r="B101" t="s">
        <v>154</v>
      </c>
      <c r="C101" t="s">
        <v>168</v>
      </c>
      <c r="D101">
        <v>600</v>
      </c>
      <c r="E101" s="2">
        <f t="shared" si="3"/>
        <v>6000</v>
      </c>
      <c r="F101">
        <v>1350</v>
      </c>
      <c r="G101">
        <v>1250</v>
      </c>
      <c r="H101">
        <v>1020</v>
      </c>
      <c r="I101">
        <v>1020</v>
      </c>
      <c r="J101">
        <v>1500</v>
      </c>
      <c r="K101">
        <v>500</v>
      </c>
      <c r="L101">
        <v>1100</v>
      </c>
      <c r="M101">
        <v>1100</v>
      </c>
      <c r="O101">
        <v>900</v>
      </c>
      <c r="P101">
        <v>49</v>
      </c>
      <c r="U101" t="s">
        <v>169</v>
      </c>
    </row>
    <row r="102" spans="1:21" x14ac:dyDescent="0.25">
      <c r="A102" t="s">
        <v>153</v>
      </c>
      <c r="B102" t="s">
        <v>170</v>
      </c>
      <c r="C102" t="s">
        <v>171</v>
      </c>
      <c r="D102">
        <v>130</v>
      </c>
      <c r="E102" s="2">
        <f t="shared" si="3"/>
        <v>1300</v>
      </c>
      <c r="F102">
        <v>750</v>
      </c>
      <c r="G102">
        <v>700</v>
      </c>
      <c r="H102">
        <v>500</v>
      </c>
      <c r="I102">
        <v>500</v>
      </c>
      <c r="J102">
        <v>800</v>
      </c>
      <c r="K102">
        <v>250</v>
      </c>
      <c r="L102">
        <v>550</v>
      </c>
      <c r="M102">
        <v>500</v>
      </c>
      <c r="O102">
        <v>195</v>
      </c>
      <c r="P102">
        <v>22.8</v>
      </c>
      <c r="U102" t="s">
        <v>172</v>
      </c>
    </row>
    <row r="103" spans="1:21" x14ac:dyDescent="0.25">
      <c r="A103" t="s">
        <v>153</v>
      </c>
      <c r="B103" t="s">
        <v>170</v>
      </c>
      <c r="C103" t="s">
        <v>173</v>
      </c>
      <c r="D103">
        <v>180</v>
      </c>
      <c r="E103" s="2">
        <f t="shared" si="3"/>
        <v>1800</v>
      </c>
      <c r="F103">
        <v>850</v>
      </c>
      <c r="G103">
        <v>800</v>
      </c>
      <c r="H103">
        <v>580</v>
      </c>
      <c r="I103">
        <v>580</v>
      </c>
      <c r="J103">
        <v>900</v>
      </c>
      <c r="K103">
        <v>300</v>
      </c>
      <c r="L103">
        <v>600</v>
      </c>
      <c r="M103">
        <v>600</v>
      </c>
      <c r="O103">
        <v>270</v>
      </c>
      <c r="P103">
        <v>26.8</v>
      </c>
      <c r="U103" t="s">
        <v>174</v>
      </c>
    </row>
    <row r="104" spans="1:21" x14ac:dyDescent="0.25">
      <c r="A104" t="s">
        <v>153</v>
      </c>
      <c r="B104" t="s">
        <v>170</v>
      </c>
      <c r="C104" t="s">
        <v>175</v>
      </c>
      <c r="D104">
        <v>220</v>
      </c>
      <c r="E104" s="2">
        <f t="shared" si="3"/>
        <v>2200</v>
      </c>
      <c r="F104">
        <v>900</v>
      </c>
      <c r="G104">
        <v>850</v>
      </c>
      <c r="H104">
        <v>610</v>
      </c>
      <c r="I104">
        <v>610</v>
      </c>
      <c r="J104">
        <v>1000</v>
      </c>
      <c r="K104">
        <v>300</v>
      </c>
      <c r="L104">
        <v>700</v>
      </c>
      <c r="M104">
        <v>650</v>
      </c>
      <c r="O104">
        <v>330</v>
      </c>
      <c r="P104">
        <v>29.7</v>
      </c>
      <c r="U104" t="s">
        <v>176</v>
      </c>
    </row>
    <row r="105" spans="1:21" x14ac:dyDescent="0.25">
      <c r="A105" t="s">
        <v>153</v>
      </c>
      <c r="B105" t="s">
        <v>170</v>
      </c>
      <c r="C105" t="s">
        <v>177</v>
      </c>
      <c r="D105">
        <v>280</v>
      </c>
      <c r="E105" s="2">
        <f t="shared" si="3"/>
        <v>2800</v>
      </c>
      <c r="F105">
        <v>950</v>
      </c>
      <c r="G105">
        <v>900</v>
      </c>
      <c r="H105">
        <v>660</v>
      </c>
      <c r="I105">
        <v>660</v>
      </c>
      <c r="J105">
        <v>1100</v>
      </c>
      <c r="K105">
        <v>350</v>
      </c>
      <c r="L105">
        <v>750</v>
      </c>
      <c r="M105">
        <v>700</v>
      </c>
      <c r="O105">
        <v>420</v>
      </c>
      <c r="P105">
        <v>33.5</v>
      </c>
      <c r="U105" t="s">
        <v>178</v>
      </c>
    </row>
    <row r="106" spans="1:21" x14ac:dyDescent="0.25">
      <c r="A106" t="s">
        <v>153</v>
      </c>
      <c r="B106" t="s">
        <v>170</v>
      </c>
      <c r="C106" t="s">
        <v>179</v>
      </c>
      <c r="D106">
        <v>350</v>
      </c>
      <c r="E106" s="2">
        <f t="shared" si="3"/>
        <v>3500</v>
      </c>
      <c r="F106">
        <v>1050</v>
      </c>
      <c r="G106">
        <v>950</v>
      </c>
      <c r="H106">
        <v>710</v>
      </c>
      <c r="I106">
        <v>710</v>
      </c>
      <c r="J106">
        <v>1200</v>
      </c>
      <c r="K106">
        <v>400</v>
      </c>
      <c r="L106">
        <v>800</v>
      </c>
      <c r="M106">
        <v>800</v>
      </c>
      <c r="O106">
        <v>525</v>
      </c>
      <c r="P106">
        <v>37.4</v>
      </c>
      <c r="U106" t="s">
        <v>180</v>
      </c>
    </row>
    <row r="107" spans="1:21" x14ac:dyDescent="0.25">
      <c r="A107" t="s">
        <v>153</v>
      </c>
      <c r="B107" t="s">
        <v>170</v>
      </c>
      <c r="C107" t="s">
        <v>181</v>
      </c>
      <c r="D107">
        <v>420</v>
      </c>
      <c r="E107" s="2">
        <f t="shared" si="3"/>
        <v>4200</v>
      </c>
      <c r="F107">
        <v>1150</v>
      </c>
      <c r="G107">
        <v>1050</v>
      </c>
      <c r="H107">
        <v>820</v>
      </c>
      <c r="I107">
        <v>820</v>
      </c>
      <c r="J107">
        <v>1300</v>
      </c>
      <c r="K107">
        <v>400</v>
      </c>
      <c r="L107">
        <v>900</v>
      </c>
      <c r="M107">
        <v>900</v>
      </c>
      <c r="O107">
        <v>630</v>
      </c>
      <c r="P107">
        <v>41</v>
      </c>
      <c r="U107" t="s">
        <v>182</v>
      </c>
    </row>
    <row r="108" spans="1:21" x14ac:dyDescent="0.25">
      <c r="A108" t="s">
        <v>153</v>
      </c>
      <c r="B108" t="s">
        <v>183</v>
      </c>
      <c r="C108" t="s">
        <v>184</v>
      </c>
      <c r="D108">
        <v>130</v>
      </c>
      <c r="E108" s="2">
        <f t="shared" si="3"/>
        <v>1300</v>
      </c>
      <c r="F108">
        <v>750</v>
      </c>
      <c r="G108">
        <v>700</v>
      </c>
      <c r="H108">
        <v>500</v>
      </c>
      <c r="I108">
        <v>500</v>
      </c>
      <c r="J108">
        <v>800</v>
      </c>
      <c r="K108">
        <v>250</v>
      </c>
      <c r="L108">
        <v>550</v>
      </c>
      <c r="M108">
        <v>500</v>
      </c>
      <c r="O108">
        <v>195</v>
      </c>
      <c r="P108">
        <v>22.8</v>
      </c>
      <c r="U108" t="s">
        <v>185</v>
      </c>
    </row>
    <row r="109" spans="1:21" x14ac:dyDescent="0.25">
      <c r="A109" t="s">
        <v>153</v>
      </c>
      <c r="B109" t="s">
        <v>183</v>
      </c>
      <c r="C109" t="s">
        <v>186</v>
      </c>
      <c r="D109">
        <v>180</v>
      </c>
      <c r="E109" s="2">
        <f t="shared" si="3"/>
        <v>1800</v>
      </c>
      <c r="F109">
        <v>850</v>
      </c>
      <c r="G109">
        <v>800</v>
      </c>
      <c r="H109">
        <v>580</v>
      </c>
      <c r="I109">
        <v>580</v>
      </c>
      <c r="J109">
        <v>900</v>
      </c>
      <c r="K109">
        <v>300</v>
      </c>
      <c r="L109">
        <v>600</v>
      </c>
      <c r="M109">
        <v>600</v>
      </c>
      <c r="O109">
        <v>270</v>
      </c>
      <c r="P109">
        <v>26.8</v>
      </c>
      <c r="U109" t="s">
        <v>187</v>
      </c>
    </row>
    <row r="110" spans="1:21" x14ac:dyDescent="0.25">
      <c r="A110" t="s">
        <v>153</v>
      </c>
      <c r="B110" t="s">
        <v>183</v>
      </c>
      <c r="C110" t="s">
        <v>188</v>
      </c>
      <c r="D110">
        <v>220</v>
      </c>
      <c r="E110" s="2">
        <f t="shared" si="3"/>
        <v>2200</v>
      </c>
      <c r="F110">
        <v>900</v>
      </c>
      <c r="G110">
        <v>850</v>
      </c>
      <c r="H110">
        <v>610</v>
      </c>
      <c r="I110">
        <v>610</v>
      </c>
      <c r="J110">
        <v>1000</v>
      </c>
      <c r="K110">
        <v>300</v>
      </c>
      <c r="L110">
        <v>700</v>
      </c>
      <c r="M110">
        <v>650</v>
      </c>
      <c r="O110">
        <v>330</v>
      </c>
      <c r="P110">
        <v>29.7</v>
      </c>
      <c r="U110" t="s">
        <v>189</v>
      </c>
    </row>
    <row r="111" spans="1:21" x14ac:dyDescent="0.25">
      <c r="A111" t="s">
        <v>153</v>
      </c>
      <c r="B111" t="s">
        <v>183</v>
      </c>
      <c r="C111" t="s">
        <v>190</v>
      </c>
      <c r="D111">
        <v>250</v>
      </c>
      <c r="E111" s="2">
        <f t="shared" si="3"/>
        <v>2500</v>
      </c>
      <c r="F111">
        <v>930</v>
      </c>
      <c r="G111">
        <v>880</v>
      </c>
      <c r="H111">
        <v>640</v>
      </c>
      <c r="I111">
        <v>640</v>
      </c>
      <c r="J111">
        <v>1050</v>
      </c>
      <c r="K111">
        <v>320</v>
      </c>
      <c r="L111">
        <v>720</v>
      </c>
      <c r="M111">
        <v>680</v>
      </c>
      <c r="O111">
        <v>375</v>
      </c>
      <c r="P111">
        <v>31.6</v>
      </c>
      <c r="U111" t="s">
        <v>191</v>
      </c>
    </row>
    <row r="112" spans="1:21" x14ac:dyDescent="0.25">
      <c r="A112" t="s">
        <v>153</v>
      </c>
      <c r="B112" t="s">
        <v>183</v>
      </c>
      <c r="C112" t="s">
        <v>192</v>
      </c>
      <c r="D112">
        <v>300</v>
      </c>
      <c r="E112" s="2">
        <f t="shared" si="3"/>
        <v>3000</v>
      </c>
      <c r="F112">
        <v>980</v>
      </c>
      <c r="G112">
        <v>930</v>
      </c>
      <c r="H112">
        <v>680</v>
      </c>
      <c r="I112">
        <v>680</v>
      </c>
      <c r="J112">
        <v>1100</v>
      </c>
      <c r="K112">
        <v>350</v>
      </c>
      <c r="L112">
        <v>760</v>
      </c>
      <c r="M112">
        <v>700</v>
      </c>
      <c r="O112">
        <v>450</v>
      </c>
      <c r="P112">
        <v>34.6</v>
      </c>
      <c r="U112" t="s">
        <v>193</v>
      </c>
    </row>
    <row r="113" spans="1:21" x14ac:dyDescent="0.25">
      <c r="A113" t="s">
        <v>153</v>
      </c>
      <c r="B113" t="s">
        <v>183</v>
      </c>
      <c r="C113" t="s">
        <v>194</v>
      </c>
      <c r="D113">
        <v>350</v>
      </c>
      <c r="E113" s="2">
        <f t="shared" si="3"/>
        <v>3500</v>
      </c>
      <c r="F113">
        <v>1050</v>
      </c>
      <c r="G113">
        <v>950</v>
      </c>
      <c r="H113">
        <v>710</v>
      </c>
      <c r="I113">
        <v>710</v>
      </c>
      <c r="J113">
        <v>1200</v>
      </c>
      <c r="K113">
        <v>400</v>
      </c>
      <c r="L113">
        <v>800</v>
      </c>
      <c r="M113">
        <v>800</v>
      </c>
      <c r="O113">
        <v>525</v>
      </c>
      <c r="P113">
        <v>37.4</v>
      </c>
      <c r="U113" t="s">
        <v>195</v>
      </c>
    </row>
    <row r="114" spans="1:21" x14ac:dyDescent="0.25">
      <c r="A114" t="s">
        <v>153</v>
      </c>
      <c r="B114" t="s">
        <v>183</v>
      </c>
      <c r="C114" t="s">
        <v>196</v>
      </c>
      <c r="D114">
        <v>400</v>
      </c>
      <c r="E114" s="2">
        <f t="shared" si="3"/>
        <v>4000</v>
      </c>
      <c r="F114">
        <v>1100</v>
      </c>
      <c r="G114">
        <v>1000</v>
      </c>
      <c r="H114">
        <v>750</v>
      </c>
      <c r="I114">
        <v>750</v>
      </c>
      <c r="J114">
        <v>1250</v>
      </c>
      <c r="K114">
        <v>420</v>
      </c>
      <c r="L114">
        <v>850</v>
      </c>
      <c r="M114">
        <v>850</v>
      </c>
      <c r="O114">
        <v>600</v>
      </c>
      <c r="P114">
        <v>40</v>
      </c>
      <c r="U114" t="s">
        <v>197</v>
      </c>
    </row>
    <row r="115" spans="1:21" x14ac:dyDescent="0.25">
      <c r="A115" t="s">
        <v>153</v>
      </c>
      <c r="B115" t="s">
        <v>183</v>
      </c>
      <c r="C115" t="s">
        <v>198</v>
      </c>
      <c r="D115">
        <v>500</v>
      </c>
      <c r="E115" s="2">
        <f>D115*10</f>
        <v>5000</v>
      </c>
      <c r="F115">
        <v>1200</v>
      </c>
      <c r="G115">
        <v>1100</v>
      </c>
      <c r="H115">
        <v>820</v>
      </c>
      <c r="I115">
        <v>820</v>
      </c>
      <c r="J115">
        <v>1350</v>
      </c>
      <c r="K115">
        <v>450</v>
      </c>
      <c r="L115">
        <v>950</v>
      </c>
      <c r="M115">
        <v>900</v>
      </c>
      <c r="O115">
        <v>750</v>
      </c>
      <c r="P115">
        <v>44.7</v>
      </c>
      <c r="U115" t="s">
        <v>199</v>
      </c>
    </row>
    <row r="116" spans="1:21" x14ac:dyDescent="0.25">
      <c r="A116" t="s">
        <v>153</v>
      </c>
      <c r="B116" t="s">
        <v>200</v>
      </c>
      <c r="C116" t="s">
        <v>201</v>
      </c>
      <c r="D116">
        <v>13</v>
      </c>
      <c r="E116" s="2">
        <f t="shared" ref="E116:E133" si="4">D116*10</f>
        <v>130</v>
      </c>
      <c r="F116">
        <v>350</v>
      </c>
      <c r="G116">
        <v>300</v>
      </c>
      <c r="H116">
        <v>200</v>
      </c>
      <c r="I116">
        <v>200</v>
      </c>
      <c r="J116">
        <v>400</v>
      </c>
      <c r="K116">
        <v>120</v>
      </c>
      <c r="L116">
        <v>250</v>
      </c>
      <c r="M116">
        <v>200</v>
      </c>
      <c r="O116">
        <v>19.5</v>
      </c>
      <c r="P116">
        <v>7.2</v>
      </c>
      <c r="U116" t="s">
        <v>125</v>
      </c>
    </row>
    <row r="117" spans="1:21" x14ac:dyDescent="0.25">
      <c r="A117" t="s">
        <v>153</v>
      </c>
      <c r="B117" t="s">
        <v>200</v>
      </c>
      <c r="C117" t="s">
        <v>202</v>
      </c>
      <c r="D117">
        <v>33</v>
      </c>
      <c r="E117" s="2">
        <f t="shared" si="4"/>
        <v>330</v>
      </c>
      <c r="F117">
        <v>450</v>
      </c>
      <c r="G117">
        <v>420</v>
      </c>
      <c r="H117">
        <v>280</v>
      </c>
      <c r="I117">
        <v>280</v>
      </c>
      <c r="J117">
        <v>500</v>
      </c>
      <c r="K117">
        <v>150</v>
      </c>
      <c r="L117">
        <v>300</v>
      </c>
      <c r="M117">
        <v>300</v>
      </c>
      <c r="O117">
        <v>49.5</v>
      </c>
      <c r="P117">
        <v>11.5</v>
      </c>
      <c r="U117" t="s">
        <v>203</v>
      </c>
    </row>
    <row r="118" spans="1:21" x14ac:dyDescent="0.25">
      <c r="A118" t="s">
        <v>153</v>
      </c>
      <c r="B118" t="s">
        <v>200</v>
      </c>
      <c r="C118" s="2" t="s">
        <v>204</v>
      </c>
      <c r="D118">
        <v>66</v>
      </c>
      <c r="E118" s="2">
        <f t="shared" si="4"/>
        <v>660</v>
      </c>
      <c r="F118">
        <v>550</v>
      </c>
      <c r="G118">
        <v>500</v>
      </c>
      <c r="H118">
        <v>350</v>
      </c>
      <c r="I118">
        <v>350</v>
      </c>
      <c r="J118">
        <v>600</v>
      </c>
      <c r="K118">
        <v>200</v>
      </c>
      <c r="L118">
        <v>400</v>
      </c>
      <c r="M118" s="2">
        <v>350</v>
      </c>
      <c r="O118">
        <v>99</v>
      </c>
      <c r="P118">
        <v>16.2</v>
      </c>
      <c r="U118" t="s">
        <v>205</v>
      </c>
    </row>
    <row r="119" spans="1:21" s="2" customFormat="1" x14ac:dyDescent="0.25">
      <c r="A119" s="2" t="s">
        <v>153</v>
      </c>
      <c r="B119" s="2" t="s">
        <v>200</v>
      </c>
      <c r="C119" s="2" t="s">
        <v>206</v>
      </c>
      <c r="D119" s="2">
        <v>100</v>
      </c>
      <c r="E119" s="2">
        <f t="shared" si="4"/>
        <v>1000</v>
      </c>
      <c r="F119" s="2">
        <v>650</v>
      </c>
      <c r="G119" s="2">
        <v>600</v>
      </c>
      <c r="H119" s="2">
        <v>420</v>
      </c>
      <c r="I119" s="2">
        <v>420</v>
      </c>
      <c r="J119" s="2">
        <v>700</v>
      </c>
      <c r="K119" s="2">
        <v>200</v>
      </c>
      <c r="L119" s="2">
        <v>450</v>
      </c>
      <c r="M119" s="2">
        <v>400</v>
      </c>
      <c r="O119" s="2">
        <v>150</v>
      </c>
      <c r="P119" s="2">
        <v>20</v>
      </c>
      <c r="U119" s="2" t="s">
        <v>129</v>
      </c>
    </row>
    <row r="120" spans="1:21" s="2" customFormat="1" x14ac:dyDescent="0.25">
      <c r="A120" s="2" t="s">
        <v>153</v>
      </c>
      <c r="B120" s="2" t="s">
        <v>200</v>
      </c>
      <c r="C120" s="2" t="s">
        <v>207</v>
      </c>
      <c r="D120" s="2">
        <v>150</v>
      </c>
      <c r="E120" s="2">
        <f t="shared" si="4"/>
        <v>1500</v>
      </c>
      <c r="F120" s="2">
        <v>750</v>
      </c>
      <c r="G120" s="2">
        <v>680</v>
      </c>
      <c r="H120" s="2">
        <v>500</v>
      </c>
      <c r="I120" s="2">
        <v>500</v>
      </c>
      <c r="J120" s="2">
        <v>800</v>
      </c>
      <c r="K120" s="2">
        <v>250</v>
      </c>
      <c r="L120" s="2">
        <v>550</v>
      </c>
      <c r="M120" s="2">
        <v>500</v>
      </c>
      <c r="O120" s="2">
        <v>225</v>
      </c>
      <c r="P120" s="2">
        <v>24.5</v>
      </c>
      <c r="U120" s="2" t="s">
        <v>205</v>
      </c>
    </row>
    <row r="121" spans="1:21" s="2" customFormat="1" x14ac:dyDescent="0.25">
      <c r="A121" s="2" t="s">
        <v>153</v>
      </c>
      <c r="B121" s="2" t="s">
        <v>200</v>
      </c>
      <c r="C121" s="2" t="s">
        <v>208</v>
      </c>
      <c r="D121" s="2">
        <v>200</v>
      </c>
      <c r="E121" s="2">
        <f t="shared" si="4"/>
        <v>2000</v>
      </c>
      <c r="F121" s="2">
        <v>830</v>
      </c>
      <c r="G121" s="2">
        <v>760</v>
      </c>
      <c r="H121" s="2">
        <v>560</v>
      </c>
      <c r="I121" s="2">
        <v>560</v>
      </c>
      <c r="J121" s="2">
        <v>900</v>
      </c>
      <c r="K121" s="2">
        <v>300</v>
      </c>
      <c r="L121" s="2">
        <v>600</v>
      </c>
      <c r="M121" s="2">
        <v>600</v>
      </c>
      <c r="O121" s="2">
        <v>300</v>
      </c>
      <c r="P121" s="2">
        <v>28.3</v>
      </c>
      <c r="U121" s="2" t="s">
        <v>209</v>
      </c>
    </row>
    <row r="122" spans="1:21" x14ac:dyDescent="0.25">
      <c r="A122" t="s">
        <v>210</v>
      </c>
      <c r="B122" t="s">
        <v>211</v>
      </c>
      <c r="C122" s="2" t="s">
        <v>212</v>
      </c>
      <c r="D122">
        <v>55</v>
      </c>
      <c r="E122" s="2">
        <f t="shared" si="4"/>
        <v>550</v>
      </c>
      <c r="F122">
        <v>520</v>
      </c>
      <c r="G122">
        <v>480</v>
      </c>
      <c r="H122">
        <v>320</v>
      </c>
      <c r="I122">
        <v>320</v>
      </c>
      <c r="J122">
        <v>550</v>
      </c>
      <c r="K122" s="2">
        <v>150</v>
      </c>
      <c r="L122" s="2">
        <v>350</v>
      </c>
      <c r="M122">
        <v>300</v>
      </c>
      <c r="O122">
        <v>82.5</v>
      </c>
      <c r="P122">
        <v>14.8</v>
      </c>
      <c r="U122" t="s">
        <v>213</v>
      </c>
    </row>
    <row r="123" spans="1:21" s="2" customFormat="1" x14ac:dyDescent="0.25">
      <c r="A123" s="2" t="s">
        <v>210</v>
      </c>
      <c r="B123" s="2" t="s">
        <v>211</v>
      </c>
      <c r="C123" s="2" t="s">
        <v>214</v>
      </c>
      <c r="D123" s="2">
        <v>65</v>
      </c>
      <c r="E123" s="2">
        <f t="shared" si="4"/>
        <v>650</v>
      </c>
      <c r="F123" s="2">
        <v>550</v>
      </c>
      <c r="G123" s="2">
        <v>500</v>
      </c>
      <c r="H123" s="2">
        <v>340</v>
      </c>
      <c r="I123" s="2">
        <v>340</v>
      </c>
      <c r="J123" s="2">
        <v>600</v>
      </c>
      <c r="K123" s="2">
        <v>160</v>
      </c>
      <c r="L123" s="2">
        <v>380</v>
      </c>
      <c r="M123" s="2">
        <v>320</v>
      </c>
      <c r="O123" s="2">
        <v>97.5</v>
      </c>
      <c r="P123" s="2">
        <v>16.100000000000001</v>
      </c>
      <c r="U123" s="2" t="s">
        <v>215</v>
      </c>
    </row>
    <row r="124" spans="1:21" x14ac:dyDescent="0.25">
      <c r="A124" t="s">
        <v>210</v>
      </c>
      <c r="B124" t="s">
        <v>211</v>
      </c>
      <c r="C124" s="3" t="s">
        <v>267</v>
      </c>
      <c r="D124">
        <v>85</v>
      </c>
      <c r="E124" s="2">
        <f t="shared" si="4"/>
        <v>850</v>
      </c>
      <c r="F124">
        <v>650</v>
      </c>
      <c r="G124">
        <v>621</v>
      </c>
      <c r="H124">
        <v>410</v>
      </c>
      <c r="I124">
        <v>410</v>
      </c>
      <c r="J124">
        <v>650</v>
      </c>
      <c r="K124" s="2">
        <v>200</v>
      </c>
      <c r="L124" s="2">
        <v>500</v>
      </c>
      <c r="M124" s="2">
        <v>350</v>
      </c>
      <c r="N124">
        <v>200</v>
      </c>
      <c r="O124">
        <v>19</v>
      </c>
      <c r="P124">
        <v>16</v>
      </c>
      <c r="Q124" s="2">
        <v>1174</v>
      </c>
      <c r="R124" s="2">
        <v>704</v>
      </c>
      <c r="U124" t="s">
        <v>213</v>
      </c>
    </row>
    <row r="125" spans="1:21" s="2" customFormat="1" x14ac:dyDescent="0.25">
      <c r="A125" s="2" t="s">
        <v>210</v>
      </c>
      <c r="B125" s="2" t="s">
        <v>211</v>
      </c>
      <c r="C125" s="3" t="s">
        <v>267</v>
      </c>
      <c r="D125" s="2">
        <v>85</v>
      </c>
      <c r="E125" s="2">
        <f t="shared" si="4"/>
        <v>850</v>
      </c>
      <c r="F125" s="2">
        <v>650</v>
      </c>
      <c r="G125" s="2">
        <v>621</v>
      </c>
      <c r="H125" s="2">
        <v>410</v>
      </c>
      <c r="I125" s="2">
        <v>410</v>
      </c>
      <c r="J125" s="2">
        <v>650</v>
      </c>
      <c r="K125" s="2">
        <v>200</v>
      </c>
      <c r="L125" s="2">
        <v>500</v>
      </c>
      <c r="M125" s="2">
        <v>350</v>
      </c>
      <c r="N125" s="2">
        <v>200</v>
      </c>
      <c r="O125" s="2">
        <v>24</v>
      </c>
      <c r="P125" s="2">
        <v>18</v>
      </c>
      <c r="Q125" s="2">
        <v>1174</v>
      </c>
      <c r="R125" s="2">
        <v>704</v>
      </c>
      <c r="U125" s="2" t="s">
        <v>213</v>
      </c>
    </row>
    <row r="126" spans="1:21" s="2" customFormat="1" x14ac:dyDescent="0.25">
      <c r="A126" s="2" t="s">
        <v>210</v>
      </c>
      <c r="B126" s="2" t="s">
        <v>211</v>
      </c>
      <c r="C126" s="3" t="s">
        <v>267</v>
      </c>
      <c r="D126" s="2">
        <v>85</v>
      </c>
      <c r="E126" s="2">
        <f t="shared" si="4"/>
        <v>850</v>
      </c>
      <c r="F126" s="2">
        <v>650</v>
      </c>
      <c r="G126" s="2">
        <v>621</v>
      </c>
      <c r="H126" s="2">
        <v>410</v>
      </c>
      <c r="I126" s="2">
        <v>410</v>
      </c>
      <c r="J126" s="2">
        <v>650</v>
      </c>
      <c r="K126" s="2">
        <v>200</v>
      </c>
      <c r="L126" s="2">
        <v>500</v>
      </c>
      <c r="M126" s="2">
        <v>350</v>
      </c>
      <c r="N126" s="2">
        <v>200</v>
      </c>
      <c r="O126" s="2">
        <v>30</v>
      </c>
      <c r="P126" s="2">
        <v>20</v>
      </c>
      <c r="Q126" s="2">
        <v>1174</v>
      </c>
      <c r="R126" s="2">
        <v>704</v>
      </c>
      <c r="U126" s="2" t="s">
        <v>213</v>
      </c>
    </row>
    <row r="127" spans="1:21" x14ac:dyDescent="0.25">
      <c r="A127" t="s">
        <v>210</v>
      </c>
      <c r="B127" t="s">
        <v>211</v>
      </c>
      <c r="C127" s="3" t="s">
        <v>267</v>
      </c>
      <c r="D127">
        <v>85</v>
      </c>
      <c r="E127" s="2">
        <f t="shared" si="4"/>
        <v>850</v>
      </c>
      <c r="F127">
        <v>650</v>
      </c>
      <c r="G127">
        <v>621</v>
      </c>
      <c r="H127">
        <v>410</v>
      </c>
      <c r="I127" s="2">
        <v>410</v>
      </c>
      <c r="J127">
        <v>650</v>
      </c>
      <c r="K127">
        <v>200</v>
      </c>
      <c r="L127">
        <v>500</v>
      </c>
      <c r="M127">
        <v>350</v>
      </c>
      <c r="N127">
        <v>200</v>
      </c>
      <c r="O127">
        <v>47</v>
      </c>
      <c r="P127">
        <v>25</v>
      </c>
      <c r="Q127" s="2">
        <v>1174</v>
      </c>
      <c r="R127" s="2">
        <v>704</v>
      </c>
      <c r="U127" t="s">
        <v>213</v>
      </c>
    </row>
    <row r="128" spans="1:21" s="2" customFormat="1" x14ac:dyDescent="0.25">
      <c r="A128" s="2" t="s">
        <v>210</v>
      </c>
      <c r="B128" s="2" t="s">
        <v>211</v>
      </c>
      <c r="C128" s="4" t="s">
        <v>268</v>
      </c>
      <c r="D128" s="2">
        <v>85</v>
      </c>
      <c r="E128" s="2">
        <f t="shared" si="4"/>
        <v>850</v>
      </c>
      <c r="F128" s="2">
        <v>650</v>
      </c>
      <c r="G128" s="2">
        <v>621</v>
      </c>
      <c r="H128" s="2">
        <v>410</v>
      </c>
      <c r="I128" s="2">
        <v>410</v>
      </c>
      <c r="J128" s="2">
        <v>650</v>
      </c>
      <c r="K128" s="2">
        <v>400</v>
      </c>
      <c r="L128" s="2">
        <v>700</v>
      </c>
      <c r="M128" s="2">
        <v>350</v>
      </c>
      <c r="N128" s="2">
        <v>200</v>
      </c>
      <c r="O128" s="2">
        <v>77</v>
      </c>
      <c r="P128" s="2">
        <v>18</v>
      </c>
      <c r="Q128" s="2">
        <v>1174</v>
      </c>
      <c r="R128" s="2">
        <v>704</v>
      </c>
      <c r="U128" s="2" t="s">
        <v>213</v>
      </c>
    </row>
    <row r="129" spans="1:21" x14ac:dyDescent="0.25">
      <c r="A129" t="s">
        <v>210</v>
      </c>
      <c r="B129" t="s">
        <v>211</v>
      </c>
      <c r="C129" s="4" t="s">
        <v>268</v>
      </c>
      <c r="D129">
        <v>85</v>
      </c>
      <c r="E129" s="2">
        <f t="shared" si="4"/>
        <v>850</v>
      </c>
      <c r="F129">
        <v>650</v>
      </c>
      <c r="G129">
        <v>621</v>
      </c>
      <c r="H129">
        <v>410</v>
      </c>
      <c r="I129">
        <v>410</v>
      </c>
      <c r="J129">
        <v>650</v>
      </c>
      <c r="K129">
        <v>400</v>
      </c>
      <c r="L129">
        <v>700</v>
      </c>
      <c r="M129">
        <v>350</v>
      </c>
      <c r="N129">
        <v>200</v>
      </c>
      <c r="O129" s="2">
        <v>77</v>
      </c>
      <c r="P129">
        <v>18</v>
      </c>
      <c r="Q129" s="2">
        <v>1174</v>
      </c>
      <c r="R129" s="2">
        <v>704</v>
      </c>
      <c r="U129" t="s">
        <v>213</v>
      </c>
    </row>
    <row r="130" spans="1:21" s="2" customFormat="1" x14ac:dyDescent="0.25">
      <c r="A130" s="2" t="s">
        <v>210</v>
      </c>
      <c r="B130" s="2" t="s">
        <v>211</v>
      </c>
      <c r="C130" s="3" t="s">
        <v>269</v>
      </c>
      <c r="D130" s="2">
        <v>85</v>
      </c>
      <c r="E130" s="2">
        <f t="shared" si="4"/>
        <v>850</v>
      </c>
      <c r="F130" s="2">
        <v>650</v>
      </c>
      <c r="G130" s="2">
        <v>621</v>
      </c>
      <c r="H130" s="2">
        <v>410</v>
      </c>
      <c r="I130" s="2">
        <v>410</v>
      </c>
      <c r="J130" s="2">
        <v>650</v>
      </c>
      <c r="K130" s="2">
        <v>400</v>
      </c>
      <c r="L130" s="2">
        <v>700</v>
      </c>
      <c r="M130" s="2">
        <v>350</v>
      </c>
      <c r="N130" s="2">
        <v>200</v>
      </c>
      <c r="O130" s="2">
        <v>85</v>
      </c>
      <c r="P130" s="2">
        <v>33</v>
      </c>
      <c r="Q130" s="2">
        <v>1174</v>
      </c>
      <c r="R130" s="2">
        <v>704</v>
      </c>
      <c r="U130" s="2" t="s">
        <v>213</v>
      </c>
    </row>
    <row r="131" spans="1:21" s="2" customFormat="1" x14ac:dyDescent="0.25">
      <c r="A131" s="2" t="s">
        <v>210</v>
      </c>
      <c r="B131" s="2" t="s">
        <v>211</v>
      </c>
      <c r="C131" s="3" t="s">
        <v>269</v>
      </c>
      <c r="D131" s="2">
        <v>85</v>
      </c>
      <c r="E131" s="2">
        <f t="shared" si="4"/>
        <v>850</v>
      </c>
      <c r="F131" s="2">
        <v>650</v>
      </c>
      <c r="G131" s="2">
        <v>621</v>
      </c>
      <c r="H131" s="2">
        <v>410</v>
      </c>
      <c r="I131" s="2">
        <v>410</v>
      </c>
      <c r="J131" s="2">
        <v>650</v>
      </c>
      <c r="K131" s="2">
        <v>400</v>
      </c>
      <c r="L131" s="2">
        <v>700</v>
      </c>
      <c r="M131" s="2">
        <v>350</v>
      </c>
      <c r="N131" s="2">
        <v>200</v>
      </c>
      <c r="O131" s="2">
        <v>113</v>
      </c>
      <c r="P131" s="2">
        <v>36</v>
      </c>
      <c r="Q131" s="2">
        <v>1174</v>
      </c>
      <c r="R131" s="2">
        <v>704</v>
      </c>
      <c r="U131" s="2" t="s">
        <v>213</v>
      </c>
    </row>
    <row r="132" spans="1:21" x14ac:dyDescent="0.25">
      <c r="A132" t="s">
        <v>210</v>
      </c>
      <c r="B132" t="s">
        <v>211</v>
      </c>
      <c r="C132" s="3" t="s">
        <v>269</v>
      </c>
      <c r="D132">
        <v>85</v>
      </c>
      <c r="E132" s="2">
        <f t="shared" si="4"/>
        <v>850</v>
      </c>
      <c r="F132">
        <v>650</v>
      </c>
      <c r="G132">
        <v>621</v>
      </c>
      <c r="H132">
        <v>410</v>
      </c>
      <c r="I132">
        <v>410</v>
      </c>
      <c r="J132">
        <v>650</v>
      </c>
      <c r="K132">
        <v>400</v>
      </c>
      <c r="L132">
        <v>700</v>
      </c>
      <c r="M132">
        <v>350</v>
      </c>
      <c r="N132">
        <v>200</v>
      </c>
      <c r="O132" s="2">
        <v>154</v>
      </c>
      <c r="P132">
        <v>40</v>
      </c>
      <c r="Q132" s="2">
        <v>1174</v>
      </c>
      <c r="R132" s="2">
        <v>704</v>
      </c>
      <c r="U132" t="s">
        <v>213</v>
      </c>
    </row>
    <row r="133" spans="1:21" s="2" customFormat="1" x14ac:dyDescent="0.25">
      <c r="A133" s="2" t="s">
        <v>210</v>
      </c>
      <c r="B133" s="2" t="s">
        <v>211</v>
      </c>
      <c r="C133" s="4" t="s">
        <v>286</v>
      </c>
      <c r="D133" s="2">
        <v>130</v>
      </c>
      <c r="E133" s="2">
        <f t="shared" si="4"/>
        <v>1300</v>
      </c>
      <c r="F133" s="2">
        <v>750</v>
      </c>
      <c r="G133" s="2">
        <v>700</v>
      </c>
      <c r="H133" s="2">
        <v>510</v>
      </c>
      <c r="I133" s="2">
        <v>510</v>
      </c>
      <c r="J133" s="2">
        <v>800</v>
      </c>
      <c r="K133" s="2">
        <v>250</v>
      </c>
      <c r="L133" s="2">
        <v>550</v>
      </c>
      <c r="M133" s="2">
        <v>500</v>
      </c>
      <c r="O133" s="2">
        <v>154</v>
      </c>
      <c r="P133" s="2">
        <v>22.8</v>
      </c>
      <c r="U133" s="2" t="s">
        <v>185</v>
      </c>
    </row>
    <row r="134" spans="1:21" s="2" customFormat="1" x14ac:dyDescent="0.25">
      <c r="A134" s="2" t="s">
        <v>210</v>
      </c>
      <c r="B134" s="2" t="s">
        <v>211</v>
      </c>
      <c r="C134" s="4" t="s">
        <v>287</v>
      </c>
      <c r="D134" s="2">
        <v>130</v>
      </c>
      <c r="E134" s="2">
        <f>D134*10</f>
        <v>1300</v>
      </c>
      <c r="F134" s="2">
        <v>750</v>
      </c>
      <c r="G134" s="2">
        <v>700</v>
      </c>
      <c r="H134" s="2">
        <v>510</v>
      </c>
      <c r="I134" s="2">
        <v>510</v>
      </c>
      <c r="J134" s="2">
        <v>800</v>
      </c>
      <c r="K134" s="2">
        <v>250</v>
      </c>
      <c r="L134" s="2">
        <v>550</v>
      </c>
      <c r="M134" s="2">
        <v>500</v>
      </c>
      <c r="O134" s="2">
        <v>301</v>
      </c>
      <c r="P134" s="2">
        <v>22.8</v>
      </c>
      <c r="U134" s="2" t="s">
        <v>185</v>
      </c>
    </row>
    <row r="135" spans="1:21" x14ac:dyDescent="0.25">
      <c r="A135" t="s">
        <v>210</v>
      </c>
      <c r="B135" t="s">
        <v>211</v>
      </c>
      <c r="C135" s="4" t="s">
        <v>288</v>
      </c>
      <c r="D135">
        <v>190</v>
      </c>
      <c r="E135" s="2">
        <f t="shared" ref="E135:E152" si="5">D135*10</f>
        <v>1900</v>
      </c>
      <c r="F135">
        <v>820</v>
      </c>
      <c r="G135">
        <v>760</v>
      </c>
      <c r="H135">
        <v>560</v>
      </c>
      <c r="I135">
        <v>560</v>
      </c>
      <c r="J135">
        <v>900</v>
      </c>
      <c r="K135">
        <v>300</v>
      </c>
      <c r="L135">
        <v>600</v>
      </c>
      <c r="M135">
        <v>600</v>
      </c>
      <c r="O135" s="2">
        <v>154</v>
      </c>
      <c r="P135">
        <v>27.6</v>
      </c>
      <c r="U135" t="s">
        <v>187</v>
      </c>
    </row>
    <row r="136" spans="1:21" s="2" customFormat="1" x14ac:dyDescent="0.25">
      <c r="A136" s="2" t="s">
        <v>210</v>
      </c>
      <c r="B136" s="2" t="s">
        <v>211</v>
      </c>
      <c r="C136" s="4" t="s">
        <v>289</v>
      </c>
      <c r="D136" s="2">
        <v>190</v>
      </c>
      <c r="E136" s="2">
        <f t="shared" si="5"/>
        <v>1900</v>
      </c>
      <c r="F136" s="2">
        <v>820</v>
      </c>
      <c r="G136" s="2">
        <v>760</v>
      </c>
      <c r="H136" s="2">
        <v>560</v>
      </c>
      <c r="I136" s="2">
        <v>560</v>
      </c>
      <c r="J136" s="2">
        <v>900</v>
      </c>
      <c r="K136" s="2">
        <v>300</v>
      </c>
      <c r="L136" s="2">
        <v>600</v>
      </c>
      <c r="M136" s="2">
        <v>600</v>
      </c>
      <c r="O136" s="2">
        <v>301</v>
      </c>
      <c r="P136" s="2">
        <v>27.6</v>
      </c>
      <c r="U136" s="2" t="s">
        <v>187</v>
      </c>
    </row>
    <row r="137" spans="1:21" x14ac:dyDescent="0.25">
      <c r="A137" t="s">
        <v>210</v>
      </c>
      <c r="B137" t="s">
        <v>211</v>
      </c>
      <c r="C137" s="4" t="s">
        <v>290</v>
      </c>
      <c r="D137">
        <v>190</v>
      </c>
      <c r="E137" s="2">
        <f t="shared" si="5"/>
        <v>1900</v>
      </c>
      <c r="F137">
        <v>820</v>
      </c>
      <c r="G137">
        <v>760</v>
      </c>
      <c r="H137">
        <v>560</v>
      </c>
      <c r="I137">
        <v>560</v>
      </c>
      <c r="J137">
        <v>900</v>
      </c>
      <c r="K137">
        <v>300</v>
      </c>
      <c r="L137">
        <v>600</v>
      </c>
      <c r="M137">
        <v>600</v>
      </c>
      <c r="O137">
        <v>579</v>
      </c>
      <c r="P137">
        <v>27.6</v>
      </c>
      <c r="U137" t="s">
        <v>187</v>
      </c>
    </row>
    <row r="138" spans="1:21" x14ac:dyDescent="0.25">
      <c r="A138" t="s">
        <v>210</v>
      </c>
      <c r="B138" t="s">
        <v>211</v>
      </c>
      <c r="C138" s="4" t="s">
        <v>291</v>
      </c>
      <c r="D138">
        <v>240</v>
      </c>
      <c r="E138" s="2">
        <f t="shared" si="5"/>
        <v>2400</v>
      </c>
      <c r="F138">
        <v>900</v>
      </c>
      <c r="G138">
        <v>830</v>
      </c>
      <c r="H138">
        <v>670</v>
      </c>
      <c r="I138">
        <v>620</v>
      </c>
      <c r="J138">
        <v>1000</v>
      </c>
      <c r="K138">
        <v>300</v>
      </c>
      <c r="L138">
        <v>700</v>
      </c>
      <c r="M138">
        <v>700</v>
      </c>
      <c r="O138">
        <v>154</v>
      </c>
      <c r="P138">
        <v>31</v>
      </c>
      <c r="U138" t="s">
        <v>189</v>
      </c>
    </row>
    <row r="139" spans="1:21" x14ac:dyDescent="0.25">
      <c r="A139" t="s">
        <v>210</v>
      </c>
      <c r="B139" t="s">
        <v>211</v>
      </c>
      <c r="C139" s="4" t="s">
        <v>292</v>
      </c>
      <c r="D139">
        <v>240</v>
      </c>
      <c r="E139" s="2">
        <f t="shared" si="5"/>
        <v>2400</v>
      </c>
      <c r="F139">
        <v>900</v>
      </c>
      <c r="G139">
        <v>830</v>
      </c>
      <c r="H139">
        <v>670</v>
      </c>
      <c r="I139">
        <v>620</v>
      </c>
      <c r="J139">
        <v>1000</v>
      </c>
      <c r="K139">
        <v>300</v>
      </c>
      <c r="L139">
        <v>700</v>
      </c>
      <c r="M139">
        <v>700</v>
      </c>
      <c r="O139">
        <v>301</v>
      </c>
      <c r="P139">
        <v>31</v>
      </c>
      <c r="U139" t="s">
        <v>189</v>
      </c>
    </row>
    <row r="140" spans="1:21" x14ac:dyDescent="0.25">
      <c r="A140" t="s">
        <v>210</v>
      </c>
      <c r="B140" t="s">
        <v>211</v>
      </c>
      <c r="C140" s="4" t="s">
        <v>293</v>
      </c>
      <c r="D140">
        <v>240</v>
      </c>
      <c r="E140" s="2">
        <f t="shared" si="5"/>
        <v>2400</v>
      </c>
      <c r="F140">
        <v>900</v>
      </c>
      <c r="G140">
        <v>830</v>
      </c>
      <c r="H140">
        <v>670</v>
      </c>
      <c r="I140">
        <v>620</v>
      </c>
      <c r="J140">
        <v>1000</v>
      </c>
      <c r="K140">
        <v>300</v>
      </c>
      <c r="L140">
        <v>700</v>
      </c>
      <c r="M140">
        <v>700</v>
      </c>
      <c r="O140">
        <v>579</v>
      </c>
      <c r="P140">
        <v>31</v>
      </c>
      <c r="U140" t="s">
        <v>189</v>
      </c>
    </row>
    <row r="141" spans="1:21" x14ac:dyDescent="0.25">
      <c r="A141" t="s">
        <v>210</v>
      </c>
      <c r="B141" t="s">
        <v>211</v>
      </c>
      <c r="C141" s="4" t="s">
        <v>294</v>
      </c>
      <c r="D141">
        <v>310</v>
      </c>
      <c r="E141" s="2">
        <f t="shared" si="5"/>
        <v>3100</v>
      </c>
      <c r="F141">
        <v>950</v>
      </c>
      <c r="G141">
        <v>880</v>
      </c>
      <c r="H141">
        <v>720</v>
      </c>
      <c r="I141">
        <v>670</v>
      </c>
      <c r="J141">
        <v>1100</v>
      </c>
      <c r="K141">
        <v>350</v>
      </c>
      <c r="L141">
        <v>750</v>
      </c>
      <c r="M141">
        <v>750</v>
      </c>
      <c r="O141">
        <v>301</v>
      </c>
      <c r="P141">
        <v>35.200000000000003</v>
      </c>
      <c r="U141" t="s">
        <v>193</v>
      </c>
    </row>
    <row r="142" spans="1:21" x14ac:dyDescent="0.25">
      <c r="A142" t="s">
        <v>210</v>
      </c>
      <c r="B142" t="s">
        <v>211</v>
      </c>
      <c r="C142" s="4" t="s">
        <v>295</v>
      </c>
      <c r="D142">
        <v>310</v>
      </c>
      <c r="E142" s="2">
        <f t="shared" si="5"/>
        <v>3100</v>
      </c>
      <c r="F142">
        <v>950</v>
      </c>
      <c r="G142">
        <v>880</v>
      </c>
      <c r="H142">
        <v>720</v>
      </c>
      <c r="I142">
        <v>670</v>
      </c>
      <c r="J142">
        <v>1100</v>
      </c>
      <c r="K142">
        <v>350</v>
      </c>
      <c r="L142">
        <v>750</v>
      </c>
      <c r="M142">
        <v>750</v>
      </c>
      <c r="O142">
        <v>579</v>
      </c>
      <c r="P142">
        <v>35.200000000000003</v>
      </c>
      <c r="U142" t="s">
        <v>193</v>
      </c>
    </row>
    <row r="143" spans="1:21" x14ac:dyDescent="0.25">
      <c r="A143" t="s">
        <v>210</v>
      </c>
      <c r="B143" t="s">
        <v>211</v>
      </c>
      <c r="C143" t="s">
        <v>216</v>
      </c>
      <c r="D143">
        <v>350</v>
      </c>
      <c r="E143" s="2">
        <f t="shared" si="5"/>
        <v>3500</v>
      </c>
      <c r="F143">
        <v>1050</v>
      </c>
      <c r="G143">
        <v>950</v>
      </c>
      <c r="H143">
        <v>710</v>
      </c>
      <c r="I143">
        <v>710</v>
      </c>
      <c r="J143">
        <v>1200</v>
      </c>
      <c r="K143">
        <v>400</v>
      </c>
      <c r="L143">
        <v>800</v>
      </c>
      <c r="M143">
        <v>800</v>
      </c>
      <c r="O143">
        <v>525</v>
      </c>
      <c r="P143">
        <v>37.4</v>
      </c>
      <c r="U143" t="s">
        <v>132</v>
      </c>
    </row>
    <row r="144" spans="1:21" x14ac:dyDescent="0.25">
      <c r="A144" t="s">
        <v>210</v>
      </c>
      <c r="B144" t="s">
        <v>211</v>
      </c>
      <c r="C144" t="s">
        <v>217</v>
      </c>
      <c r="D144">
        <v>460</v>
      </c>
      <c r="E144" s="2">
        <f t="shared" si="5"/>
        <v>4600</v>
      </c>
      <c r="F144">
        <v>1150</v>
      </c>
      <c r="G144">
        <v>1050</v>
      </c>
      <c r="H144">
        <v>820</v>
      </c>
      <c r="I144">
        <v>820</v>
      </c>
      <c r="J144">
        <v>1300</v>
      </c>
      <c r="K144">
        <v>400</v>
      </c>
      <c r="L144">
        <v>900</v>
      </c>
      <c r="M144">
        <v>900</v>
      </c>
      <c r="O144">
        <v>690</v>
      </c>
      <c r="P144">
        <v>42.9</v>
      </c>
      <c r="U144" t="s">
        <v>71</v>
      </c>
    </row>
    <row r="145" spans="1:21" x14ac:dyDescent="0.25">
      <c r="A145" t="s">
        <v>210</v>
      </c>
      <c r="B145" t="s">
        <v>211</v>
      </c>
      <c r="C145" t="s">
        <v>218</v>
      </c>
      <c r="D145">
        <v>550</v>
      </c>
      <c r="E145" s="2">
        <f t="shared" si="5"/>
        <v>5500</v>
      </c>
      <c r="F145">
        <v>1250</v>
      </c>
      <c r="G145">
        <v>1150</v>
      </c>
      <c r="H145">
        <v>920</v>
      </c>
      <c r="I145">
        <v>920</v>
      </c>
      <c r="J145">
        <v>1400</v>
      </c>
      <c r="K145">
        <v>450</v>
      </c>
      <c r="L145">
        <v>1000</v>
      </c>
      <c r="M145">
        <v>1000</v>
      </c>
      <c r="O145">
        <v>825</v>
      </c>
      <c r="P145">
        <v>46.9</v>
      </c>
      <c r="U145" t="s">
        <v>73</v>
      </c>
    </row>
    <row r="146" spans="1:21" x14ac:dyDescent="0.25">
      <c r="A146" t="s">
        <v>210</v>
      </c>
      <c r="B146" t="s">
        <v>219</v>
      </c>
      <c r="C146" t="s">
        <v>220</v>
      </c>
      <c r="D146">
        <v>130</v>
      </c>
      <c r="E146" s="2">
        <f t="shared" si="5"/>
        <v>1300</v>
      </c>
      <c r="F146">
        <v>750</v>
      </c>
      <c r="G146">
        <v>700</v>
      </c>
      <c r="H146">
        <v>500</v>
      </c>
      <c r="I146">
        <v>500</v>
      </c>
      <c r="J146">
        <v>800</v>
      </c>
      <c r="K146">
        <v>250</v>
      </c>
      <c r="L146">
        <v>550</v>
      </c>
      <c r="M146">
        <v>500</v>
      </c>
      <c r="O146">
        <v>195</v>
      </c>
      <c r="P146">
        <v>22.8</v>
      </c>
      <c r="U146" t="s">
        <v>221</v>
      </c>
    </row>
    <row r="147" spans="1:21" x14ac:dyDescent="0.25">
      <c r="A147" t="s">
        <v>210</v>
      </c>
      <c r="B147" t="s">
        <v>219</v>
      </c>
      <c r="C147" t="s">
        <v>222</v>
      </c>
      <c r="D147">
        <v>190</v>
      </c>
      <c r="E147" s="2">
        <f t="shared" si="5"/>
        <v>1900</v>
      </c>
      <c r="F147">
        <v>820</v>
      </c>
      <c r="G147">
        <v>760</v>
      </c>
      <c r="H147">
        <v>560</v>
      </c>
      <c r="I147">
        <v>560</v>
      </c>
      <c r="J147">
        <v>900</v>
      </c>
      <c r="K147">
        <v>300</v>
      </c>
      <c r="L147">
        <v>600</v>
      </c>
      <c r="M147">
        <v>600</v>
      </c>
      <c r="O147">
        <v>285</v>
      </c>
      <c r="P147">
        <v>27.6</v>
      </c>
      <c r="U147" t="s">
        <v>223</v>
      </c>
    </row>
    <row r="148" spans="1:21" x14ac:dyDescent="0.25">
      <c r="A148" t="s">
        <v>210</v>
      </c>
      <c r="B148" t="s">
        <v>219</v>
      </c>
      <c r="C148" t="s">
        <v>224</v>
      </c>
      <c r="D148">
        <v>240</v>
      </c>
      <c r="E148" s="2">
        <f t="shared" si="5"/>
        <v>2400</v>
      </c>
      <c r="F148">
        <v>900</v>
      </c>
      <c r="G148">
        <v>830</v>
      </c>
      <c r="H148">
        <v>610</v>
      </c>
      <c r="I148">
        <v>610</v>
      </c>
      <c r="J148">
        <v>1000</v>
      </c>
      <c r="K148">
        <v>300</v>
      </c>
      <c r="L148">
        <v>700</v>
      </c>
      <c r="M148">
        <v>700</v>
      </c>
      <c r="O148">
        <v>360</v>
      </c>
      <c r="P148">
        <v>31</v>
      </c>
      <c r="U148" t="s">
        <v>225</v>
      </c>
    </row>
    <row r="149" spans="1:21" x14ac:dyDescent="0.25">
      <c r="A149" t="s">
        <v>210</v>
      </c>
      <c r="B149" t="s">
        <v>219</v>
      </c>
      <c r="C149" t="s">
        <v>226</v>
      </c>
      <c r="D149">
        <v>310</v>
      </c>
      <c r="E149" s="2">
        <f t="shared" si="5"/>
        <v>3100</v>
      </c>
      <c r="F149">
        <v>950</v>
      </c>
      <c r="G149">
        <v>880</v>
      </c>
      <c r="H149">
        <v>660</v>
      </c>
      <c r="I149">
        <v>660</v>
      </c>
      <c r="J149">
        <v>1100</v>
      </c>
      <c r="K149">
        <v>350</v>
      </c>
      <c r="L149">
        <v>750</v>
      </c>
      <c r="M149">
        <v>750</v>
      </c>
      <c r="O149">
        <v>465</v>
      </c>
      <c r="P149">
        <v>35.200000000000003</v>
      </c>
      <c r="U149" t="s">
        <v>227</v>
      </c>
    </row>
    <row r="150" spans="1:21" x14ac:dyDescent="0.25">
      <c r="A150" t="s">
        <v>210</v>
      </c>
      <c r="B150" t="s">
        <v>219</v>
      </c>
      <c r="C150" t="s">
        <v>228</v>
      </c>
      <c r="D150">
        <v>350</v>
      </c>
      <c r="E150" s="2">
        <f t="shared" si="5"/>
        <v>3500</v>
      </c>
      <c r="F150">
        <v>1050</v>
      </c>
      <c r="G150">
        <v>950</v>
      </c>
      <c r="H150">
        <v>710</v>
      </c>
      <c r="I150">
        <v>710</v>
      </c>
      <c r="J150">
        <v>1200</v>
      </c>
      <c r="K150">
        <v>400</v>
      </c>
      <c r="L150">
        <v>800</v>
      </c>
      <c r="M150">
        <v>800</v>
      </c>
      <c r="O150">
        <v>525</v>
      </c>
      <c r="P150">
        <v>37.4</v>
      </c>
      <c r="U150" t="s">
        <v>229</v>
      </c>
    </row>
    <row r="151" spans="1:21" x14ac:dyDescent="0.25">
      <c r="A151" t="s">
        <v>210</v>
      </c>
      <c r="B151" t="s">
        <v>219</v>
      </c>
      <c r="C151" t="s">
        <v>230</v>
      </c>
      <c r="D151">
        <v>460</v>
      </c>
      <c r="E151" s="2">
        <f t="shared" si="5"/>
        <v>4600</v>
      </c>
      <c r="F151">
        <v>1150</v>
      </c>
      <c r="G151">
        <v>1050</v>
      </c>
      <c r="H151">
        <v>820</v>
      </c>
      <c r="I151">
        <v>820</v>
      </c>
      <c r="J151">
        <v>1300</v>
      </c>
      <c r="K151">
        <v>400</v>
      </c>
      <c r="L151">
        <v>900</v>
      </c>
      <c r="M151">
        <v>900</v>
      </c>
      <c r="O151">
        <v>690</v>
      </c>
      <c r="P151">
        <v>42.9</v>
      </c>
      <c r="U151" t="s">
        <v>227</v>
      </c>
    </row>
    <row r="152" spans="1:21" x14ac:dyDescent="0.25">
      <c r="A152" t="s">
        <v>210</v>
      </c>
      <c r="B152" t="s">
        <v>219</v>
      </c>
      <c r="C152" t="s">
        <v>231</v>
      </c>
      <c r="D152">
        <v>550</v>
      </c>
      <c r="E152" s="2">
        <f t="shared" si="5"/>
        <v>5500</v>
      </c>
      <c r="F152">
        <v>1250</v>
      </c>
      <c r="G152">
        <v>1150</v>
      </c>
      <c r="H152">
        <v>920</v>
      </c>
      <c r="I152">
        <v>920</v>
      </c>
      <c r="J152">
        <v>1400</v>
      </c>
      <c r="K152">
        <v>450</v>
      </c>
      <c r="L152">
        <v>1000</v>
      </c>
      <c r="M152">
        <v>1000</v>
      </c>
      <c r="O152">
        <v>825</v>
      </c>
      <c r="P152">
        <v>46.9</v>
      </c>
      <c r="U152" t="s">
        <v>86</v>
      </c>
    </row>
    <row r="153" spans="1:21" x14ac:dyDescent="0.25">
      <c r="A153" t="s">
        <v>210</v>
      </c>
      <c r="B153" t="s">
        <v>232</v>
      </c>
      <c r="C153" t="s">
        <v>233</v>
      </c>
      <c r="D153">
        <v>220</v>
      </c>
      <c r="E153" s="2">
        <f>D153*10</f>
        <v>2200</v>
      </c>
      <c r="F153">
        <v>880</v>
      </c>
      <c r="G153">
        <v>810</v>
      </c>
      <c r="H153">
        <v>610</v>
      </c>
      <c r="I153">
        <v>610</v>
      </c>
      <c r="J153">
        <v>1000</v>
      </c>
      <c r="K153">
        <v>300</v>
      </c>
      <c r="L153">
        <v>700</v>
      </c>
      <c r="M153">
        <v>700</v>
      </c>
      <c r="O153">
        <v>330</v>
      </c>
      <c r="P153">
        <v>29.7</v>
      </c>
      <c r="U153" t="s">
        <v>234</v>
      </c>
    </row>
    <row r="154" spans="1:21" x14ac:dyDescent="0.25">
      <c r="A154" t="s">
        <v>210</v>
      </c>
      <c r="B154" t="s">
        <v>232</v>
      </c>
      <c r="C154" t="s">
        <v>235</v>
      </c>
      <c r="D154">
        <v>350</v>
      </c>
      <c r="E154" s="2">
        <f t="shared" ref="E154:E171" si="6">D154*10</f>
        <v>3500</v>
      </c>
      <c r="F154">
        <v>1050</v>
      </c>
      <c r="G154">
        <v>950</v>
      </c>
      <c r="H154">
        <v>710</v>
      </c>
      <c r="I154">
        <v>710</v>
      </c>
      <c r="J154">
        <v>1200</v>
      </c>
      <c r="K154">
        <v>400</v>
      </c>
      <c r="L154">
        <v>800</v>
      </c>
      <c r="M154">
        <v>800</v>
      </c>
      <c r="O154">
        <v>525</v>
      </c>
      <c r="P154">
        <v>37.4</v>
      </c>
      <c r="U154" t="s">
        <v>236</v>
      </c>
    </row>
    <row r="155" spans="1:21" x14ac:dyDescent="0.25">
      <c r="A155" t="s">
        <v>210</v>
      </c>
      <c r="B155" t="s">
        <v>232</v>
      </c>
      <c r="C155" t="s">
        <v>237</v>
      </c>
      <c r="D155">
        <v>450</v>
      </c>
      <c r="E155" s="2">
        <f t="shared" si="6"/>
        <v>4500</v>
      </c>
      <c r="F155">
        <v>1150</v>
      </c>
      <c r="G155">
        <v>1050</v>
      </c>
      <c r="H155">
        <v>820</v>
      </c>
      <c r="I155">
        <v>820</v>
      </c>
      <c r="J155">
        <v>1300</v>
      </c>
      <c r="K155">
        <v>400</v>
      </c>
      <c r="L155">
        <v>900</v>
      </c>
      <c r="M155">
        <v>900</v>
      </c>
      <c r="O155">
        <v>675</v>
      </c>
      <c r="P155">
        <v>42.4</v>
      </c>
      <c r="U155" t="s">
        <v>238</v>
      </c>
    </row>
    <row r="156" spans="1:21" x14ac:dyDescent="0.25">
      <c r="A156" t="s">
        <v>210</v>
      </c>
      <c r="B156" t="s">
        <v>232</v>
      </c>
      <c r="C156" t="s">
        <v>239</v>
      </c>
      <c r="D156">
        <v>550</v>
      </c>
      <c r="E156" s="2">
        <f t="shared" si="6"/>
        <v>5500</v>
      </c>
      <c r="F156">
        <v>1250</v>
      </c>
      <c r="G156">
        <v>1150</v>
      </c>
      <c r="H156">
        <v>920</v>
      </c>
      <c r="I156">
        <v>920</v>
      </c>
      <c r="J156">
        <v>1400</v>
      </c>
      <c r="K156">
        <v>450</v>
      </c>
      <c r="L156">
        <v>1000</v>
      </c>
      <c r="M156">
        <v>1000</v>
      </c>
      <c r="O156">
        <v>825</v>
      </c>
      <c r="P156">
        <v>46.9</v>
      </c>
      <c r="U156" t="s">
        <v>240</v>
      </c>
    </row>
    <row r="157" spans="1:21" x14ac:dyDescent="0.25">
      <c r="A157" t="s">
        <v>210</v>
      </c>
      <c r="B157" t="s">
        <v>241</v>
      </c>
      <c r="C157" t="s">
        <v>242</v>
      </c>
      <c r="D157">
        <v>240</v>
      </c>
      <c r="E157" s="2">
        <f t="shared" si="6"/>
        <v>2400</v>
      </c>
      <c r="F157">
        <v>900</v>
      </c>
      <c r="G157">
        <v>830</v>
      </c>
      <c r="H157">
        <v>610</v>
      </c>
      <c r="I157">
        <v>610</v>
      </c>
      <c r="J157">
        <v>1000</v>
      </c>
      <c r="K157">
        <v>300</v>
      </c>
      <c r="L157">
        <v>700</v>
      </c>
      <c r="M157">
        <v>700</v>
      </c>
      <c r="O157">
        <v>360</v>
      </c>
      <c r="P157">
        <v>31</v>
      </c>
      <c r="U157" t="s">
        <v>118</v>
      </c>
    </row>
    <row r="158" spans="1:21" x14ac:dyDescent="0.25">
      <c r="A158" t="s">
        <v>210</v>
      </c>
      <c r="B158" t="s">
        <v>241</v>
      </c>
      <c r="C158" t="s">
        <v>243</v>
      </c>
      <c r="D158">
        <v>350</v>
      </c>
      <c r="E158" s="2">
        <f t="shared" si="6"/>
        <v>3500</v>
      </c>
      <c r="F158">
        <v>1050</v>
      </c>
      <c r="G158">
        <v>950</v>
      </c>
      <c r="H158">
        <v>710</v>
      </c>
      <c r="I158">
        <v>710</v>
      </c>
      <c r="J158">
        <v>1200</v>
      </c>
      <c r="K158">
        <v>400</v>
      </c>
      <c r="L158">
        <v>800</v>
      </c>
      <c r="M158">
        <v>800</v>
      </c>
      <c r="O158">
        <v>525</v>
      </c>
      <c r="P158">
        <v>37.4</v>
      </c>
      <c r="U158" t="s">
        <v>122</v>
      </c>
    </row>
    <row r="159" spans="1:21" x14ac:dyDescent="0.25">
      <c r="A159" t="s">
        <v>210</v>
      </c>
      <c r="B159" t="s">
        <v>241</v>
      </c>
      <c r="C159" t="s">
        <v>244</v>
      </c>
      <c r="D159">
        <v>460</v>
      </c>
      <c r="E159" s="2">
        <f t="shared" si="6"/>
        <v>4600</v>
      </c>
      <c r="F159">
        <v>1150</v>
      </c>
      <c r="G159">
        <v>1050</v>
      </c>
      <c r="H159">
        <v>820</v>
      </c>
      <c r="I159">
        <v>820</v>
      </c>
      <c r="J159">
        <v>1300</v>
      </c>
      <c r="K159">
        <v>400</v>
      </c>
      <c r="L159">
        <v>900</v>
      </c>
      <c r="M159">
        <v>900</v>
      </c>
      <c r="O159">
        <v>690</v>
      </c>
      <c r="P159">
        <v>42.9</v>
      </c>
      <c r="U159" t="s">
        <v>245</v>
      </c>
    </row>
    <row r="160" spans="1:21" x14ac:dyDescent="0.25">
      <c r="A160" t="s">
        <v>96</v>
      </c>
      <c r="B160" t="s">
        <v>97</v>
      </c>
      <c r="C160" t="s">
        <v>98</v>
      </c>
      <c r="D160">
        <v>55</v>
      </c>
      <c r="E160" s="2">
        <f t="shared" si="6"/>
        <v>550</v>
      </c>
      <c r="F160">
        <v>560</v>
      </c>
      <c r="G160">
        <v>510</v>
      </c>
      <c r="H160">
        <v>360</v>
      </c>
      <c r="I160">
        <v>360</v>
      </c>
      <c r="J160">
        <v>600</v>
      </c>
      <c r="K160">
        <v>200</v>
      </c>
      <c r="L160">
        <v>400</v>
      </c>
      <c r="M160">
        <v>350</v>
      </c>
      <c r="O160">
        <v>82.5</v>
      </c>
      <c r="P160">
        <v>14.8</v>
      </c>
      <c r="U160" t="s">
        <v>99</v>
      </c>
    </row>
    <row r="161" spans="1:21" s="2" customFormat="1" x14ac:dyDescent="0.25">
      <c r="A161" s="12" t="s">
        <v>96</v>
      </c>
      <c r="B161" s="2" t="s">
        <v>361</v>
      </c>
      <c r="C161" s="2" t="s">
        <v>362</v>
      </c>
    </row>
    <row r="162" spans="1:21" x14ac:dyDescent="0.25">
      <c r="A162" t="s">
        <v>96</v>
      </c>
      <c r="B162" t="s">
        <v>97</v>
      </c>
      <c r="C162" t="s">
        <v>100</v>
      </c>
      <c r="D162">
        <v>75</v>
      </c>
      <c r="E162" s="2">
        <f t="shared" si="6"/>
        <v>750</v>
      </c>
      <c r="F162">
        <v>630</v>
      </c>
      <c r="G162">
        <v>580</v>
      </c>
      <c r="H162">
        <v>410</v>
      </c>
      <c r="I162">
        <v>410</v>
      </c>
      <c r="J162">
        <v>700</v>
      </c>
      <c r="K162">
        <v>200</v>
      </c>
      <c r="L162">
        <v>450</v>
      </c>
      <c r="M162">
        <v>400</v>
      </c>
      <c r="O162">
        <v>112.5</v>
      </c>
      <c r="P162">
        <v>17.3</v>
      </c>
      <c r="U162" t="s">
        <v>101</v>
      </c>
    </row>
    <row r="163" spans="1:21" x14ac:dyDescent="0.25">
      <c r="A163" t="s">
        <v>96</v>
      </c>
      <c r="B163" t="s">
        <v>97</v>
      </c>
      <c r="C163" t="s">
        <v>102</v>
      </c>
      <c r="D163">
        <v>143</v>
      </c>
      <c r="E163" s="2">
        <f t="shared" si="6"/>
        <v>1430</v>
      </c>
      <c r="F163">
        <v>750</v>
      </c>
      <c r="G163">
        <v>680</v>
      </c>
      <c r="H163">
        <v>510</v>
      </c>
      <c r="I163">
        <v>510</v>
      </c>
      <c r="J163">
        <v>800</v>
      </c>
      <c r="K163">
        <v>250</v>
      </c>
      <c r="L163">
        <v>550</v>
      </c>
      <c r="M163">
        <v>500</v>
      </c>
      <c r="O163">
        <v>214.5</v>
      </c>
      <c r="P163">
        <v>23.9</v>
      </c>
      <c r="U163" t="s">
        <v>103</v>
      </c>
    </row>
    <row r="164" spans="1:21" x14ac:dyDescent="0.25">
      <c r="A164" t="s">
        <v>96</v>
      </c>
      <c r="B164" t="s">
        <v>97</v>
      </c>
      <c r="C164" t="s">
        <v>104</v>
      </c>
      <c r="D164">
        <v>198</v>
      </c>
      <c r="E164" s="2">
        <f t="shared" si="6"/>
        <v>1980</v>
      </c>
      <c r="F164">
        <v>830</v>
      </c>
      <c r="G164">
        <v>760</v>
      </c>
      <c r="H164">
        <v>560</v>
      </c>
      <c r="I164">
        <v>560</v>
      </c>
      <c r="J164">
        <v>900</v>
      </c>
      <c r="K164">
        <v>300</v>
      </c>
      <c r="L164">
        <v>600</v>
      </c>
      <c r="M164">
        <v>600</v>
      </c>
      <c r="O164">
        <v>297</v>
      </c>
      <c r="P164">
        <v>28.1</v>
      </c>
      <c r="U164" t="s">
        <v>105</v>
      </c>
    </row>
    <row r="165" spans="1:21" x14ac:dyDescent="0.25">
      <c r="A165" t="s">
        <v>96</v>
      </c>
      <c r="B165" t="s">
        <v>97</v>
      </c>
      <c r="C165" t="s">
        <v>106</v>
      </c>
      <c r="D165">
        <v>308</v>
      </c>
      <c r="E165" s="2">
        <f t="shared" si="6"/>
        <v>3080</v>
      </c>
      <c r="F165">
        <v>900</v>
      </c>
      <c r="G165">
        <v>840</v>
      </c>
      <c r="H165">
        <v>610</v>
      </c>
      <c r="I165">
        <v>610</v>
      </c>
      <c r="J165">
        <v>1000</v>
      </c>
      <c r="K165">
        <v>300</v>
      </c>
      <c r="L165">
        <v>700</v>
      </c>
      <c r="M165">
        <v>700</v>
      </c>
      <c r="O165">
        <v>462</v>
      </c>
      <c r="P165">
        <v>35.1</v>
      </c>
      <c r="U165" t="s">
        <v>71</v>
      </c>
    </row>
    <row r="166" spans="1:21" x14ac:dyDescent="0.25">
      <c r="A166" t="s">
        <v>96</v>
      </c>
      <c r="B166" t="s">
        <v>97</v>
      </c>
      <c r="C166" t="s">
        <v>107</v>
      </c>
      <c r="D166">
        <v>385</v>
      </c>
      <c r="E166" s="2">
        <f t="shared" si="6"/>
        <v>3850</v>
      </c>
      <c r="F166">
        <v>1020</v>
      </c>
      <c r="G166">
        <v>950</v>
      </c>
      <c r="H166">
        <v>710</v>
      </c>
      <c r="I166">
        <v>710</v>
      </c>
      <c r="J166">
        <v>1200</v>
      </c>
      <c r="K166">
        <v>350</v>
      </c>
      <c r="L166">
        <v>800</v>
      </c>
      <c r="M166">
        <v>800</v>
      </c>
      <c r="O166">
        <v>577.5</v>
      </c>
      <c r="P166">
        <v>39.200000000000003</v>
      </c>
      <c r="U166" t="s">
        <v>108</v>
      </c>
    </row>
    <row r="167" spans="1:21" x14ac:dyDescent="0.25">
      <c r="A167" t="s">
        <v>96</v>
      </c>
      <c r="B167" t="s">
        <v>97</v>
      </c>
      <c r="C167" t="s">
        <v>109</v>
      </c>
      <c r="D167">
        <v>495</v>
      </c>
      <c r="E167" s="2">
        <f t="shared" si="6"/>
        <v>4950</v>
      </c>
      <c r="F167">
        <v>1150</v>
      </c>
      <c r="G167">
        <v>1050</v>
      </c>
      <c r="H167">
        <v>820</v>
      </c>
      <c r="I167">
        <v>820</v>
      </c>
      <c r="J167">
        <v>1300</v>
      </c>
      <c r="K167">
        <v>400</v>
      </c>
      <c r="L167">
        <v>900</v>
      </c>
      <c r="M167">
        <v>900</v>
      </c>
      <c r="O167">
        <v>742.5</v>
      </c>
      <c r="P167">
        <v>44.5</v>
      </c>
      <c r="U167" t="s">
        <v>110</v>
      </c>
    </row>
    <row r="168" spans="1:21" x14ac:dyDescent="0.25">
      <c r="A168" t="s">
        <v>96</v>
      </c>
      <c r="B168" t="s">
        <v>97</v>
      </c>
      <c r="C168" t="s">
        <v>111</v>
      </c>
      <c r="D168">
        <v>550</v>
      </c>
      <c r="E168" s="2">
        <f t="shared" si="6"/>
        <v>5500</v>
      </c>
      <c r="F168">
        <v>1250</v>
      </c>
      <c r="G168">
        <v>1150</v>
      </c>
      <c r="H168">
        <v>920</v>
      </c>
      <c r="I168">
        <v>920</v>
      </c>
      <c r="J168">
        <v>1400</v>
      </c>
      <c r="K168">
        <v>450</v>
      </c>
      <c r="L168">
        <v>1000</v>
      </c>
      <c r="M168">
        <v>1000</v>
      </c>
      <c r="O168">
        <v>825</v>
      </c>
      <c r="P168">
        <v>46.9</v>
      </c>
      <c r="U168" t="s">
        <v>73</v>
      </c>
    </row>
    <row r="169" spans="1:21" x14ac:dyDescent="0.25">
      <c r="A169" t="s">
        <v>96</v>
      </c>
      <c r="B169" t="s">
        <v>112</v>
      </c>
      <c r="C169" t="s">
        <v>113</v>
      </c>
      <c r="D169">
        <v>143</v>
      </c>
      <c r="E169" s="2">
        <f t="shared" si="6"/>
        <v>1430</v>
      </c>
      <c r="F169">
        <v>750</v>
      </c>
      <c r="G169">
        <v>680</v>
      </c>
      <c r="H169">
        <v>510</v>
      </c>
      <c r="I169">
        <v>510</v>
      </c>
      <c r="J169">
        <v>800</v>
      </c>
      <c r="K169">
        <v>250</v>
      </c>
      <c r="L169">
        <v>550</v>
      </c>
      <c r="M169">
        <v>500</v>
      </c>
      <c r="O169">
        <v>214.5</v>
      </c>
      <c r="P169">
        <v>23.9</v>
      </c>
      <c r="U169" t="s">
        <v>114</v>
      </c>
    </row>
    <row r="170" spans="1:21" x14ac:dyDescent="0.25">
      <c r="A170" t="s">
        <v>96</v>
      </c>
      <c r="B170" t="s">
        <v>112</v>
      </c>
      <c r="C170" t="s">
        <v>115</v>
      </c>
      <c r="D170">
        <v>198</v>
      </c>
      <c r="E170" s="2">
        <f t="shared" si="6"/>
        <v>1980</v>
      </c>
      <c r="F170">
        <v>830</v>
      </c>
      <c r="G170">
        <v>760</v>
      </c>
      <c r="H170">
        <v>560</v>
      </c>
      <c r="I170">
        <v>560</v>
      </c>
      <c r="J170">
        <v>900</v>
      </c>
      <c r="K170">
        <v>300</v>
      </c>
      <c r="L170">
        <v>600</v>
      </c>
      <c r="M170">
        <v>600</v>
      </c>
      <c r="O170">
        <v>297</v>
      </c>
      <c r="P170">
        <v>28.1</v>
      </c>
      <c r="U170" t="s">
        <v>116</v>
      </c>
    </row>
    <row r="171" spans="1:21" x14ac:dyDescent="0.25">
      <c r="A171" t="s">
        <v>96</v>
      </c>
      <c r="B171" t="s">
        <v>112</v>
      </c>
      <c r="C171" t="s">
        <v>117</v>
      </c>
      <c r="D171">
        <v>242</v>
      </c>
      <c r="E171" s="2">
        <f t="shared" si="6"/>
        <v>2420</v>
      </c>
      <c r="F171">
        <v>880</v>
      </c>
      <c r="G171">
        <v>810</v>
      </c>
      <c r="H171">
        <v>610</v>
      </c>
      <c r="I171">
        <v>610</v>
      </c>
      <c r="J171">
        <v>1000</v>
      </c>
      <c r="K171">
        <v>300</v>
      </c>
      <c r="L171">
        <v>700</v>
      </c>
      <c r="M171">
        <v>700</v>
      </c>
      <c r="O171">
        <v>363</v>
      </c>
      <c r="P171">
        <v>31.1</v>
      </c>
      <c r="U171" t="s">
        <v>118</v>
      </c>
    </row>
    <row r="172" spans="1:21" x14ac:dyDescent="0.25">
      <c r="A172" t="s">
        <v>96</v>
      </c>
      <c r="B172" t="s">
        <v>112</v>
      </c>
      <c r="C172" t="s">
        <v>119</v>
      </c>
      <c r="D172">
        <v>308</v>
      </c>
      <c r="E172" s="2">
        <f>D172*10</f>
        <v>3080</v>
      </c>
      <c r="F172">
        <v>950</v>
      </c>
      <c r="G172">
        <v>850</v>
      </c>
      <c r="H172">
        <v>660</v>
      </c>
      <c r="I172">
        <v>660</v>
      </c>
      <c r="J172">
        <v>1100</v>
      </c>
      <c r="K172">
        <v>350</v>
      </c>
      <c r="L172">
        <v>750</v>
      </c>
      <c r="M172">
        <v>750</v>
      </c>
      <c r="O172">
        <v>462</v>
      </c>
      <c r="P172">
        <v>35.1</v>
      </c>
      <c r="U172" t="s">
        <v>120</v>
      </c>
    </row>
    <row r="173" spans="1:21" x14ac:dyDescent="0.25">
      <c r="A173" t="s">
        <v>96</v>
      </c>
      <c r="B173" t="s">
        <v>112</v>
      </c>
      <c r="C173" t="s">
        <v>121</v>
      </c>
      <c r="D173">
        <v>385</v>
      </c>
      <c r="E173" s="2">
        <f t="shared" ref="E173:E192" si="7">D173*10</f>
        <v>3850</v>
      </c>
      <c r="F173">
        <v>1050</v>
      </c>
      <c r="G173">
        <v>950</v>
      </c>
      <c r="H173">
        <v>710</v>
      </c>
      <c r="I173">
        <v>710</v>
      </c>
      <c r="J173">
        <v>1200</v>
      </c>
      <c r="K173">
        <v>400</v>
      </c>
      <c r="L173">
        <v>800</v>
      </c>
      <c r="M173">
        <v>800</v>
      </c>
      <c r="O173">
        <v>577.5</v>
      </c>
      <c r="P173">
        <v>39.200000000000003</v>
      </c>
      <c r="U173" t="s">
        <v>122</v>
      </c>
    </row>
    <row r="174" spans="1:21" s="2" customFormat="1" x14ac:dyDescent="0.25">
      <c r="A174" s="2" t="s">
        <v>96</v>
      </c>
      <c r="B174" s="2" t="s">
        <v>363</v>
      </c>
      <c r="C174" s="3" t="s">
        <v>365</v>
      </c>
      <c r="D174" s="2">
        <v>450</v>
      </c>
      <c r="E174" s="2">
        <f t="shared" si="7"/>
        <v>4500</v>
      </c>
      <c r="F174" s="2">
        <v>1300</v>
      </c>
      <c r="G174" s="2">
        <v>1300</v>
      </c>
      <c r="H174" s="2">
        <v>920</v>
      </c>
      <c r="I174" s="2">
        <v>920</v>
      </c>
      <c r="J174" s="2">
        <v>1625</v>
      </c>
      <c r="K174" s="2">
        <v>350</v>
      </c>
      <c r="L174" s="2">
        <v>800</v>
      </c>
      <c r="M174" s="2">
        <v>825</v>
      </c>
      <c r="O174" s="2">
        <v>390</v>
      </c>
      <c r="P174" s="2">
        <v>50</v>
      </c>
      <c r="Q174" s="2">
        <v>7500</v>
      </c>
      <c r="R174" s="2">
        <v>5000</v>
      </c>
      <c r="S174" s="2">
        <v>220</v>
      </c>
      <c r="T174" s="2">
        <v>150</v>
      </c>
    </row>
    <row r="175" spans="1:21" s="2" customFormat="1" x14ac:dyDescent="0.25">
      <c r="A175" s="2" t="s">
        <v>96</v>
      </c>
      <c r="B175" s="2" t="s">
        <v>363</v>
      </c>
      <c r="C175" s="3" t="s">
        <v>366</v>
      </c>
      <c r="D175" s="2">
        <v>450</v>
      </c>
      <c r="E175" s="2">
        <f t="shared" ref="E175" si="8">D175*10</f>
        <v>4500</v>
      </c>
      <c r="F175" s="2">
        <v>1300</v>
      </c>
      <c r="G175" s="2">
        <v>1300</v>
      </c>
      <c r="H175" s="2">
        <v>920</v>
      </c>
      <c r="I175" s="2">
        <v>920</v>
      </c>
      <c r="J175" s="2">
        <v>1625</v>
      </c>
      <c r="K175" s="2">
        <v>350</v>
      </c>
      <c r="L175" s="2">
        <v>800</v>
      </c>
      <c r="M175" s="2">
        <v>825</v>
      </c>
      <c r="O175" s="2">
        <v>1390</v>
      </c>
      <c r="P175" s="2">
        <v>80</v>
      </c>
      <c r="Q175" s="2">
        <v>7500</v>
      </c>
      <c r="R175" s="2">
        <v>5000</v>
      </c>
      <c r="S175" s="2">
        <v>220</v>
      </c>
      <c r="T175" s="2">
        <v>150</v>
      </c>
    </row>
    <row r="176" spans="1:21" x14ac:dyDescent="0.25">
      <c r="A176" t="s">
        <v>96</v>
      </c>
      <c r="B176" t="s">
        <v>123</v>
      </c>
      <c r="C176" t="s">
        <v>124</v>
      </c>
      <c r="D176">
        <v>33</v>
      </c>
      <c r="E176" s="2">
        <f t="shared" si="7"/>
        <v>330</v>
      </c>
      <c r="F176">
        <v>450</v>
      </c>
      <c r="G176">
        <v>420</v>
      </c>
      <c r="H176">
        <v>300</v>
      </c>
      <c r="I176">
        <v>300</v>
      </c>
      <c r="J176">
        <v>500</v>
      </c>
      <c r="K176">
        <v>150</v>
      </c>
      <c r="L176">
        <v>300</v>
      </c>
      <c r="M176">
        <v>300</v>
      </c>
      <c r="O176">
        <v>49.5</v>
      </c>
      <c r="P176">
        <v>11.5</v>
      </c>
      <c r="U176" t="s">
        <v>125</v>
      </c>
    </row>
    <row r="177" spans="1:21" x14ac:dyDescent="0.25">
      <c r="A177" t="s">
        <v>96</v>
      </c>
      <c r="B177" t="s">
        <v>123</v>
      </c>
      <c r="C177" t="s">
        <v>126</v>
      </c>
      <c r="D177">
        <v>55</v>
      </c>
      <c r="E177" s="2">
        <f t="shared" si="7"/>
        <v>550</v>
      </c>
      <c r="F177">
        <v>560</v>
      </c>
      <c r="G177">
        <v>510</v>
      </c>
      <c r="H177">
        <v>360</v>
      </c>
      <c r="I177">
        <v>360</v>
      </c>
      <c r="J177">
        <v>600</v>
      </c>
      <c r="K177">
        <v>200</v>
      </c>
      <c r="L177">
        <v>400</v>
      </c>
      <c r="M177">
        <v>350</v>
      </c>
      <c r="O177">
        <v>82.5</v>
      </c>
      <c r="P177">
        <v>14.8</v>
      </c>
      <c r="U177" t="s">
        <v>127</v>
      </c>
    </row>
    <row r="178" spans="1:21" x14ac:dyDescent="0.25">
      <c r="A178" t="s">
        <v>96</v>
      </c>
      <c r="B178" t="s">
        <v>123</v>
      </c>
      <c r="C178" t="s">
        <v>128</v>
      </c>
      <c r="D178">
        <v>75</v>
      </c>
      <c r="E178" s="2">
        <f t="shared" si="7"/>
        <v>750</v>
      </c>
      <c r="F178">
        <v>630</v>
      </c>
      <c r="G178">
        <v>580</v>
      </c>
      <c r="H178">
        <v>410</v>
      </c>
      <c r="I178">
        <v>410</v>
      </c>
      <c r="J178">
        <v>700</v>
      </c>
      <c r="K178">
        <v>200</v>
      </c>
      <c r="L178">
        <v>450</v>
      </c>
      <c r="M178">
        <v>400</v>
      </c>
      <c r="O178">
        <v>112.5</v>
      </c>
      <c r="P178">
        <v>17.3</v>
      </c>
      <c r="U178" t="s">
        <v>129</v>
      </c>
    </row>
    <row r="179" spans="1:21" x14ac:dyDescent="0.25">
      <c r="A179" t="s">
        <v>96</v>
      </c>
      <c r="B179" t="s">
        <v>123</v>
      </c>
      <c r="C179" t="s">
        <v>130</v>
      </c>
      <c r="D179">
        <v>143</v>
      </c>
      <c r="E179" s="2">
        <f t="shared" si="7"/>
        <v>1430</v>
      </c>
      <c r="F179">
        <v>750</v>
      </c>
      <c r="G179">
        <v>680</v>
      </c>
      <c r="H179">
        <v>510</v>
      </c>
      <c r="I179">
        <v>510</v>
      </c>
      <c r="J179">
        <v>800</v>
      </c>
      <c r="K179">
        <v>250</v>
      </c>
      <c r="L179">
        <v>550</v>
      </c>
      <c r="M179">
        <v>500</v>
      </c>
      <c r="O179">
        <v>214.5</v>
      </c>
      <c r="P179">
        <v>23.9</v>
      </c>
      <c r="U179" t="s">
        <v>40</v>
      </c>
    </row>
    <row r="180" spans="1:21" x14ac:dyDescent="0.25">
      <c r="A180" t="s">
        <v>96</v>
      </c>
      <c r="B180" t="s">
        <v>123</v>
      </c>
      <c r="C180" t="s">
        <v>131</v>
      </c>
      <c r="D180">
        <v>198</v>
      </c>
      <c r="E180" s="2">
        <f t="shared" si="7"/>
        <v>1980</v>
      </c>
      <c r="F180">
        <v>830</v>
      </c>
      <c r="G180">
        <v>760</v>
      </c>
      <c r="H180">
        <v>560</v>
      </c>
      <c r="I180">
        <v>560</v>
      </c>
      <c r="J180">
        <v>900</v>
      </c>
      <c r="K180">
        <v>300</v>
      </c>
      <c r="L180">
        <v>600</v>
      </c>
      <c r="M180">
        <v>600</v>
      </c>
      <c r="O180">
        <v>297</v>
      </c>
      <c r="P180">
        <v>28.1</v>
      </c>
      <c r="U180" t="s">
        <v>132</v>
      </c>
    </row>
    <row r="181" spans="1:21" x14ac:dyDescent="0.25">
      <c r="A181" t="s">
        <v>96</v>
      </c>
      <c r="B181" t="s">
        <v>123</v>
      </c>
      <c r="C181" t="s">
        <v>133</v>
      </c>
      <c r="D181">
        <v>308</v>
      </c>
      <c r="E181" s="2">
        <f t="shared" si="7"/>
        <v>3080</v>
      </c>
      <c r="F181">
        <v>900</v>
      </c>
      <c r="G181">
        <v>840</v>
      </c>
      <c r="H181">
        <v>610</v>
      </c>
      <c r="I181">
        <v>610</v>
      </c>
      <c r="J181">
        <v>1000</v>
      </c>
      <c r="K181">
        <v>300</v>
      </c>
      <c r="L181">
        <v>700</v>
      </c>
      <c r="M181">
        <v>700</v>
      </c>
      <c r="O181">
        <v>462</v>
      </c>
      <c r="P181">
        <v>35.1</v>
      </c>
      <c r="U181" t="s">
        <v>71</v>
      </c>
    </row>
    <row r="182" spans="1:21" x14ac:dyDescent="0.25">
      <c r="A182" t="s">
        <v>96</v>
      </c>
      <c r="B182" t="s">
        <v>123</v>
      </c>
      <c r="C182" t="s">
        <v>134</v>
      </c>
      <c r="D182">
        <v>385</v>
      </c>
      <c r="E182" s="2">
        <f t="shared" si="7"/>
        <v>3850</v>
      </c>
      <c r="F182">
        <v>1020</v>
      </c>
      <c r="G182">
        <v>950</v>
      </c>
      <c r="H182">
        <v>710</v>
      </c>
      <c r="I182">
        <v>710</v>
      </c>
      <c r="J182">
        <v>1200</v>
      </c>
      <c r="K182">
        <v>350</v>
      </c>
      <c r="L182">
        <v>800</v>
      </c>
      <c r="M182">
        <v>800</v>
      </c>
      <c r="O182">
        <v>577.5</v>
      </c>
      <c r="P182">
        <v>39.200000000000003</v>
      </c>
      <c r="U182" t="s">
        <v>135</v>
      </c>
    </row>
    <row r="183" spans="1:21" x14ac:dyDescent="0.25">
      <c r="A183" t="s">
        <v>96</v>
      </c>
      <c r="B183" t="s">
        <v>136</v>
      </c>
      <c r="C183" t="s">
        <v>137</v>
      </c>
      <c r="D183">
        <v>220</v>
      </c>
      <c r="E183" s="2">
        <f t="shared" si="7"/>
        <v>2200</v>
      </c>
      <c r="F183">
        <v>880</v>
      </c>
      <c r="G183">
        <v>810</v>
      </c>
      <c r="H183">
        <v>610</v>
      </c>
      <c r="I183">
        <v>610</v>
      </c>
      <c r="J183">
        <v>1000</v>
      </c>
      <c r="K183">
        <v>300</v>
      </c>
      <c r="L183">
        <v>700</v>
      </c>
      <c r="M183">
        <v>700</v>
      </c>
      <c r="O183">
        <v>330</v>
      </c>
      <c r="P183">
        <v>29.7</v>
      </c>
      <c r="U183" t="s">
        <v>138</v>
      </c>
    </row>
    <row r="184" spans="1:21" x14ac:dyDescent="0.25">
      <c r="A184" t="s">
        <v>96</v>
      </c>
      <c r="B184" t="s">
        <v>136</v>
      </c>
      <c r="C184" t="s">
        <v>139</v>
      </c>
      <c r="D184">
        <v>350</v>
      </c>
      <c r="E184" s="2">
        <f t="shared" si="7"/>
        <v>3500</v>
      </c>
      <c r="F184">
        <v>1050</v>
      </c>
      <c r="G184">
        <v>950</v>
      </c>
      <c r="H184">
        <v>710</v>
      </c>
      <c r="I184">
        <v>710</v>
      </c>
      <c r="J184">
        <v>1200</v>
      </c>
      <c r="K184">
        <v>400</v>
      </c>
      <c r="L184">
        <v>800</v>
      </c>
      <c r="M184">
        <v>800</v>
      </c>
      <c r="O184">
        <v>525</v>
      </c>
      <c r="P184">
        <v>37.4</v>
      </c>
      <c r="U184" t="s">
        <v>140</v>
      </c>
    </row>
    <row r="185" spans="1:21" x14ac:dyDescent="0.25">
      <c r="A185" s="1" t="s">
        <v>96</v>
      </c>
      <c r="B185" s="1" t="s">
        <v>136</v>
      </c>
      <c r="C185" s="1" t="s">
        <v>141</v>
      </c>
      <c r="D185" s="1">
        <v>450</v>
      </c>
      <c r="E185" s="2">
        <f t="shared" si="7"/>
        <v>4500</v>
      </c>
      <c r="F185" s="1">
        <v>1150</v>
      </c>
      <c r="G185" s="1">
        <v>1050</v>
      </c>
      <c r="H185" s="1">
        <v>820</v>
      </c>
      <c r="I185" s="1">
        <v>820</v>
      </c>
      <c r="J185" s="1">
        <v>1300</v>
      </c>
      <c r="K185" s="1">
        <v>400</v>
      </c>
      <c r="L185" s="1">
        <v>900</v>
      </c>
      <c r="M185" s="1">
        <v>900</v>
      </c>
      <c r="N185" s="1"/>
      <c r="O185" s="1">
        <v>675</v>
      </c>
      <c r="P185" s="1">
        <v>42.4</v>
      </c>
      <c r="U185" s="1" t="s">
        <v>142</v>
      </c>
    </row>
    <row r="186" spans="1:21" x14ac:dyDescent="0.25">
      <c r="A186" s="1" t="s">
        <v>96</v>
      </c>
      <c r="B186" s="1" t="s">
        <v>136</v>
      </c>
      <c r="C186" s="1" t="s">
        <v>143</v>
      </c>
      <c r="D186" s="1">
        <v>500</v>
      </c>
      <c r="E186" s="2">
        <f t="shared" si="7"/>
        <v>5000</v>
      </c>
      <c r="F186" s="1">
        <v>1250</v>
      </c>
      <c r="G186" s="1">
        <v>1150</v>
      </c>
      <c r="H186" s="1">
        <v>920</v>
      </c>
      <c r="I186" s="1">
        <v>920</v>
      </c>
      <c r="J186" s="1">
        <v>1400</v>
      </c>
      <c r="K186" s="1">
        <v>450</v>
      </c>
      <c r="L186" s="1">
        <v>1000</v>
      </c>
      <c r="M186" s="1">
        <v>1000</v>
      </c>
      <c r="N186" s="1"/>
      <c r="O186" s="1">
        <v>750</v>
      </c>
      <c r="P186" s="1">
        <v>44.7</v>
      </c>
      <c r="U186" s="1" t="s">
        <v>144</v>
      </c>
    </row>
    <row r="187" spans="1:21" x14ac:dyDescent="0.25">
      <c r="A187" s="1" t="s">
        <v>96</v>
      </c>
      <c r="B187" s="1" t="s">
        <v>145</v>
      </c>
      <c r="C187" s="1" t="s">
        <v>146</v>
      </c>
      <c r="D187" s="1">
        <v>231</v>
      </c>
      <c r="E187" s="2">
        <f t="shared" si="7"/>
        <v>2310</v>
      </c>
      <c r="F187" s="1">
        <v>880</v>
      </c>
      <c r="G187" s="1">
        <v>810</v>
      </c>
      <c r="H187" s="1">
        <v>610</v>
      </c>
      <c r="I187" s="1">
        <v>610</v>
      </c>
      <c r="J187" s="1">
        <v>1000</v>
      </c>
      <c r="K187" s="1">
        <v>300</v>
      </c>
      <c r="L187" s="1">
        <v>700</v>
      </c>
      <c r="M187" s="1">
        <v>700</v>
      </c>
      <c r="N187" s="1"/>
      <c r="O187" s="1">
        <v>346.5</v>
      </c>
      <c r="P187" s="1">
        <v>30.4</v>
      </c>
      <c r="U187" s="1" t="s">
        <v>147</v>
      </c>
    </row>
    <row r="188" spans="1:21" x14ac:dyDescent="0.25">
      <c r="A188" s="1" t="s">
        <v>96</v>
      </c>
      <c r="B188" s="1" t="s">
        <v>145</v>
      </c>
      <c r="C188" s="1" t="s">
        <v>148</v>
      </c>
      <c r="D188" s="1">
        <v>308</v>
      </c>
      <c r="E188" s="2">
        <f t="shared" si="7"/>
        <v>3080</v>
      </c>
      <c r="F188" s="1">
        <v>950</v>
      </c>
      <c r="G188" s="1">
        <v>850</v>
      </c>
      <c r="H188" s="1">
        <v>660</v>
      </c>
      <c r="I188" s="1">
        <v>660</v>
      </c>
      <c r="J188" s="1">
        <v>1100</v>
      </c>
      <c r="K188" s="1">
        <v>350</v>
      </c>
      <c r="L188" s="1">
        <v>750</v>
      </c>
      <c r="M188" s="1">
        <v>750</v>
      </c>
      <c r="N188" s="1"/>
      <c r="O188" s="1">
        <v>462</v>
      </c>
      <c r="P188" s="1">
        <v>35.1</v>
      </c>
      <c r="U188" s="1" t="s">
        <v>149</v>
      </c>
    </row>
    <row r="189" spans="1:21" x14ac:dyDescent="0.25">
      <c r="A189" s="1" t="s">
        <v>96</v>
      </c>
      <c r="B189" s="1" t="s">
        <v>145</v>
      </c>
      <c r="C189" s="1" t="s">
        <v>150</v>
      </c>
      <c r="D189" s="1">
        <v>385</v>
      </c>
      <c r="E189" s="2">
        <f t="shared" si="7"/>
        <v>3850</v>
      </c>
      <c r="F189" s="1">
        <v>1050</v>
      </c>
      <c r="G189" s="1">
        <v>950</v>
      </c>
      <c r="H189" s="1">
        <v>710</v>
      </c>
      <c r="I189" s="1">
        <v>710</v>
      </c>
      <c r="J189" s="1">
        <v>1200</v>
      </c>
      <c r="K189" s="1">
        <v>400</v>
      </c>
      <c r="L189" s="1">
        <v>800</v>
      </c>
      <c r="M189" s="1">
        <v>800</v>
      </c>
      <c r="N189" s="1"/>
      <c r="O189" s="1">
        <v>577.5</v>
      </c>
      <c r="P189" s="1">
        <v>39.200000000000003</v>
      </c>
      <c r="U189" s="1" t="s">
        <v>48</v>
      </c>
    </row>
    <row r="190" spans="1:21" x14ac:dyDescent="0.25">
      <c r="A190" s="2" t="s">
        <v>96</v>
      </c>
      <c r="B190" s="2" t="s">
        <v>145</v>
      </c>
      <c r="C190" s="2" t="s">
        <v>151</v>
      </c>
      <c r="D190" s="2">
        <v>550</v>
      </c>
      <c r="E190" s="2">
        <f t="shared" si="7"/>
        <v>5500</v>
      </c>
      <c r="F190" s="2">
        <v>1250</v>
      </c>
      <c r="G190" s="2">
        <v>1150</v>
      </c>
      <c r="H190" s="2">
        <v>920</v>
      </c>
      <c r="I190" s="2">
        <v>920</v>
      </c>
      <c r="J190" s="2">
        <v>1400</v>
      </c>
      <c r="K190" s="2">
        <v>450</v>
      </c>
      <c r="L190" s="2">
        <v>1000</v>
      </c>
      <c r="M190" s="2">
        <v>1000</v>
      </c>
      <c r="N190" s="2"/>
      <c r="O190" s="2">
        <v>825</v>
      </c>
      <c r="P190" s="2">
        <v>46.9</v>
      </c>
      <c r="U190" s="2" t="s">
        <v>152</v>
      </c>
    </row>
    <row r="191" spans="1:21" x14ac:dyDescent="0.25">
      <c r="A191" t="s">
        <v>352</v>
      </c>
      <c r="B191" t="s">
        <v>353</v>
      </c>
      <c r="C191" t="s">
        <v>354</v>
      </c>
      <c r="D191">
        <v>33</v>
      </c>
      <c r="E191" s="2">
        <f t="shared" si="7"/>
        <v>330</v>
      </c>
      <c r="U191" s="2" t="s">
        <v>357</v>
      </c>
    </row>
    <row r="192" spans="1:21" x14ac:dyDescent="0.25">
      <c r="A192" s="2" t="s">
        <v>352</v>
      </c>
      <c r="B192" s="2" t="s">
        <v>353</v>
      </c>
      <c r="C192" s="3" t="s">
        <v>356</v>
      </c>
      <c r="D192">
        <v>198</v>
      </c>
      <c r="E192" s="2">
        <f t="shared" si="7"/>
        <v>1980</v>
      </c>
      <c r="F192">
        <v>790</v>
      </c>
      <c r="G192">
        <v>740</v>
      </c>
      <c r="H192">
        <v>560</v>
      </c>
      <c r="I192">
        <v>510</v>
      </c>
      <c r="J192">
        <v>1050</v>
      </c>
      <c r="K192">
        <v>200</v>
      </c>
      <c r="L192">
        <v>600</v>
      </c>
      <c r="M192">
        <v>450</v>
      </c>
      <c r="O192">
        <v>292</v>
      </c>
      <c r="P192">
        <v>45</v>
      </c>
      <c r="S192" s="2">
        <v>130</v>
      </c>
      <c r="U192" t="s">
        <v>357</v>
      </c>
    </row>
    <row r="193" spans="1:21" x14ac:dyDescent="0.25">
      <c r="A193" s="2" t="s">
        <v>352</v>
      </c>
      <c r="B193" s="2" t="s">
        <v>353</v>
      </c>
      <c r="C193" t="s">
        <v>355</v>
      </c>
      <c r="D193">
        <v>254</v>
      </c>
      <c r="E193" s="2">
        <f>D193*10</f>
        <v>2540</v>
      </c>
      <c r="U193" s="2" t="s">
        <v>357</v>
      </c>
    </row>
    <row r="194" spans="1:21" x14ac:dyDescent="0.25">
      <c r="A194" t="s">
        <v>358</v>
      </c>
      <c r="B194" t="s">
        <v>359</v>
      </c>
      <c r="C194" s="3" t="s">
        <v>360</v>
      </c>
      <c r="D194">
        <v>300</v>
      </c>
      <c r="E194" s="2">
        <v>3000</v>
      </c>
      <c r="F194">
        <v>970</v>
      </c>
      <c r="G194">
        <v>970</v>
      </c>
      <c r="H194">
        <v>720</v>
      </c>
      <c r="I194" s="2">
        <v>720</v>
      </c>
      <c r="J194">
        <v>900</v>
      </c>
      <c r="K194">
        <v>250</v>
      </c>
      <c r="L194">
        <v>650</v>
      </c>
      <c r="M194">
        <v>610</v>
      </c>
      <c r="O194">
        <v>341</v>
      </c>
      <c r="P194">
        <v>48</v>
      </c>
      <c r="S194" s="2">
        <v>150</v>
      </c>
    </row>
    <row r="195" spans="1:21" x14ac:dyDescent="0.25">
      <c r="A195" s="13" t="s">
        <v>391</v>
      </c>
      <c r="B195" s="13" t="s">
        <v>392</v>
      </c>
      <c r="C195" s="13" t="s">
        <v>393</v>
      </c>
      <c r="D195" s="13">
        <v>50</v>
      </c>
      <c r="E195" s="13">
        <v>500</v>
      </c>
      <c r="F195" s="13">
        <v>547</v>
      </c>
      <c r="G195" s="13">
        <v>547</v>
      </c>
      <c r="H195" s="13">
        <v>426</v>
      </c>
      <c r="I195" s="13">
        <v>426</v>
      </c>
      <c r="J195" s="13">
        <v>540</v>
      </c>
      <c r="K195" s="13">
        <v>151</v>
      </c>
      <c r="L195" s="13">
        <v>421</v>
      </c>
      <c r="M195" s="13">
        <v>309</v>
      </c>
      <c r="N195" s="13">
        <v>151</v>
      </c>
      <c r="O195" s="13">
        <v>110</v>
      </c>
      <c r="P195" s="13">
        <v>23</v>
      </c>
      <c r="Q195" s="13">
        <v>600</v>
      </c>
      <c r="R195" s="13">
        <v>350</v>
      </c>
      <c r="S195" s="13">
        <v>150</v>
      </c>
      <c r="T195" s="13">
        <v>100</v>
      </c>
      <c r="U195" s="13" t="s">
        <v>394</v>
      </c>
    </row>
    <row r="196" spans="1:21" x14ac:dyDescent="0.25">
      <c r="A196" s="13" t="s">
        <v>391</v>
      </c>
      <c r="B196" s="13" t="s">
        <v>392</v>
      </c>
      <c r="C196" s="13" t="s">
        <v>395</v>
      </c>
      <c r="D196" s="13">
        <v>80</v>
      </c>
      <c r="E196" s="13">
        <v>800</v>
      </c>
      <c r="F196" s="13">
        <v>600</v>
      </c>
      <c r="G196" s="13">
        <v>600</v>
      </c>
      <c r="H196" s="13">
        <v>468</v>
      </c>
      <c r="I196" s="13">
        <v>468</v>
      </c>
      <c r="J196" s="13">
        <v>594</v>
      </c>
      <c r="K196" s="13">
        <v>166</v>
      </c>
      <c r="L196" s="13">
        <v>463</v>
      </c>
      <c r="M196" s="13">
        <v>348</v>
      </c>
      <c r="N196" s="13">
        <v>166</v>
      </c>
      <c r="O196" s="13">
        <v>176</v>
      </c>
      <c r="P196" s="13">
        <v>29</v>
      </c>
      <c r="Q196" s="13">
        <v>960</v>
      </c>
      <c r="R196" s="13">
        <v>560</v>
      </c>
      <c r="S196" s="13">
        <v>150</v>
      </c>
      <c r="T196" s="13">
        <v>100</v>
      </c>
      <c r="U196" s="13" t="s">
        <v>394</v>
      </c>
    </row>
    <row r="197" spans="1:21" x14ac:dyDescent="0.25">
      <c r="A197" s="13" t="s">
        <v>391</v>
      </c>
      <c r="B197" s="13" t="s">
        <v>392</v>
      </c>
      <c r="C197" s="13" t="s">
        <v>396</v>
      </c>
      <c r="D197" s="13">
        <v>110</v>
      </c>
      <c r="E197" s="13">
        <v>1100</v>
      </c>
      <c r="F197" s="13">
        <v>643</v>
      </c>
      <c r="G197" s="13">
        <v>643</v>
      </c>
      <c r="H197" s="13">
        <v>501</v>
      </c>
      <c r="I197" s="13">
        <v>501</v>
      </c>
      <c r="J197" s="13">
        <v>648</v>
      </c>
      <c r="K197" s="13">
        <v>181</v>
      </c>
      <c r="L197" s="13">
        <v>505</v>
      </c>
      <c r="M197" s="13">
        <v>387</v>
      </c>
      <c r="N197" s="13">
        <v>181</v>
      </c>
      <c r="O197" s="13">
        <v>242</v>
      </c>
      <c r="P197" s="13">
        <v>34</v>
      </c>
      <c r="Q197" s="13">
        <v>1320</v>
      </c>
      <c r="R197" s="13">
        <v>770</v>
      </c>
      <c r="S197" s="13">
        <v>150</v>
      </c>
      <c r="T197" s="13">
        <v>100</v>
      </c>
      <c r="U197" s="13" t="s">
        <v>394</v>
      </c>
    </row>
    <row r="198" spans="1:21" x14ac:dyDescent="0.25">
      <c r="A198" s="13" t="s">
        <v>391</v>
      </c>
      <c r="B198" s="13" t="s">
        <v>392</v>
      </c>
      <c r="C198" s="13" t="s">
        <v>397</v>
      </c>
      <c r="D198" s="13">
        <v>140</v>
      </c>
      <c r="E198" s="13">
        <v>1400</v>
      </c>
      <c r="F198" s="13">
        <v>681</v>
      </c>
      <c r="G198" s="13">
        <v>681</v>
      </c>
      <c r="H198" s="13">
        <v>531</v>
      </c>
      <c r="I198" s="13">
        <v>531</v>
      </c>
      <c r="J198" s="13">
        <v>702</v>
      </c>
      <c r="K198" s="13">
        <v>196</v>
      </c>
      <c r="L198" s="13">
        <v>547</v>
      </c>
      <c r="M198" s="13">
        <v>426</v>
      </c>
      <c r="N198" s="13">
        <v>196</v>
      </c>
      <c r="O198" s="13">
        <v>308</v>
      </c>
      <c r="P198" s="13">
        <v>39</v>
      </c>
      <c r="Q198" s="13">
        <v>1680</v>
      </c>
      <c r="R198" s="13">
        <v>980</v>
      </c>
      <c r="S198" s="13">
        <v>150</v>
      </c>
      <c r="T198" s="13">
        <v>100</v>
      </c>
      <c r="U198" s="13" t="s">
        <v>394</v>
      </c>
    </row>
    <row r="199" spans="1:21" x14ac:dyDescent="0.25">
      <c r="A199" s="13" t="s">
        <v>391</v>
      </c>
      <c r="B199" s="13" t="s">
        <v>392</v>
      </c>
      <c r="C199" s="13" t="s">
        <v>398</v>
      </c>
      <c r="D199" s="13">
        <v>180</v>
      </c>
      <c r="E199" s="13">
        <v>1800</v>
      </c>
      <c r="F199" s="13">
        <v>725</v>
      </c>
      <c r="G199" s="13">
        <v>725</v>
      </c>
      <c r="H199" s="13">
        <v>565</v>
      </c>
      <c r="I199" s="13">
        <v>565</v>
      </c>
      <c r="J199" s="13">
        <v>774</v>
      </c>
      <c r="K199" s="13">
        <v>216</v>
      </c>
      <c r="L199" s="13">
        <v>603</v>
      </c>
      <c r="M199" s="13">
        <v>478</v>
      </c>
      <c r="N199" s="13">
        <v>216</v>
      </c>
      <c r="O199" s="13">
        <v>396</v>
      </c>
      <c r="P199" s="13">
        <v>44</v>
      </c>
      <c r="Q199" s="13">
        <v>2160</v>
      </c>
      <c r="R199" s="13">
        <v>1260</v>
      </c>
      <c r="S199" s="13">
        <v>150</v>
      </c>
      <c r="T199" s="13">
        <v>100</v>
      </c>
      <c r="U199" s="13" t="s">
        <v>394</v>
      </c>
    </row>
    <row r="200" spans="1:21" x14ac:dyDescent="0.25">
      <c r="A200" s="13" t="s">
        <v>391</v>
      </c>
      <c r="B200" s="13" t="s">
        <v>392</v>
      </c>
      <c r="C200" s="13" t="s">
        <v>399</v>
      </c>
      <c r="D200" s="13">
        <v>220</v>
      </c>
      <c r="E200" s="13">
        <v>2200</v>
      </c>
      <c r="F200" s="13">
        <v>765</v>
      </c>
      <c r="G200" s="13">
        <v>765</v>
      </c>
      <c r="H200" s="13">
        <v>596</v>
      </c>
      <c r="I200" s="13">
        <v>596</v>
      </c>
      <c r="J200" s="13">
        <v>846</v>
      </c>
      <c r="K200" s="13">
        <v>236</v>
      </c>
      <c r="L200" s="13">
        <v>659</v>
      </c>
      <c r="M200" s="13">
        <v>530</v>
      </c>
      <c r="N200" s="13">
        <v>236</v>
      </c>
      <c r="O200" s="13">
        <v>484</v>
      </c>
      <c r="P200" s="13">
        <v>48</v>
      </c>
      <c r="Q200" s="13">
        <v>2640</v>
      </c>
      <c r="R200" s="13">
        <v>1540</v>
      </c>
      <c r="S200" s="13">
        <v>200</v>
      </c>
      <c r="T200" s="13">
        <v>125</v>
      </c>
      <c r="U200" s="13" t="s">
        <v>394</v>
      </c>
    </row>
    <row r="201" spans="1:21" x14ac:dyDescent="0.25">
      <c r="A201" s="13" t="s">
        <v>391</v>
      </c>
      <c r="B201" s="13" t="s">
        <v>392</v>
      </c>
      <c r="C201" s="13" t="s">
        <v>400</v>
      </c>
      <c r="D201" s="13">
        <v>300</v>
      </c>
      <c r="E201" s="13">
        <v>3000</v>
      </c>
      <c r="F201" s="13">
        <v>834</v>
      </c>
      <c r="G201" s="13">
        <v>834</v>
      </c>
      <c r="H201" s="13">
        <v>650</v>
      </c>
      <c r="I201" s="13">
        <v>650</v>
      </c>
      <c r="J201" s="13">
        <v>990</v>
      </c>
      <c r="K201" s="13">
        <v>277</v>
      </c>
      <c r="L201" s="13">
        <v>772</v>
      </c>
      <c r="M201" s="13">
        <v>633</v>
      </c>
      <c r="N201" s="13">
        <v>277</v>
      </c>
      <c r="O201" s="13">
        <v>660</v>
      </c>
      <c r="P201" s="13">
        <v>57</v>
      </c>
      <c r="Q201" s="13">
        <v>3600</v>
      </c>
      <c r="R201" s="13">
        <v>2100</v>
      </c>
      <c r="S201" s="13">
        <v>200</v>
      </c>
      <c r="T201" s="13">
        <v>125</v>
      </c>
      <c r="U201" s="13" t="s">
        <v>394</v>
      </c>
    </row>
    <row r="202" spans="1:21" x14ac:dyDescent="0.25">
      <c r="A202" s="13" t="s">
        <v>391</v>
      </c>
      <c r="B202" s="13" t="s">
        <v>392</v>
      </c>
      <c r="C202" s="13" t="s">
        <v>401</v>
      </c>
      <c r="D202" s="13">
        <v>400</v>
      </c>
      <c r="E202" s="13">
        <v>4000</v>
      </c>
      <c r="F202" s="13">
        <v>910</v>
      </c>
      <c r="G202" s="13">
        <v>910</v>
      </c>
      <c r="H202" s="13">
        <v>709</v>
      </c>
      <c r="I202" s="13">
        <v>709</v>
      </c>
      <c r="J202" s="13">
        <v>1170</v>
      </c>
      <c r="K202" s="13">
        <v>327</v>
      </c>
      <c r="L202" s="13">
        <v>912</v>
      </c>
      <c r="M202" s="13">
        <v>763</v>
      </c>
      <c r="N202" s="13">
        <v>327</v>
      </c>
      <c r="O202" s="13">
        <v>880</v>
      </c>
      <c r="P202" s="13">
        <v>65</v>
      </c>
      <c r="Q202" s="13">
        <v>4800</v>
      </c>
      <c r="R202" s="13">
        <v>2800</v>
      </c>
      <c r="S202" s="13">
        <v>200</v>
      </c>
      <c r="T202" s="13">
        <v>125</v>
      </c>
      <c r="U202" s="13" t="s">
        <v>394</v>
      </c>
    </row>
    <row r="203" spans="1:21" x14ac:dyDescent="0.25">
      <c r="A203" s="13" t="s">
        <v>391</v>
      </c>
      <c r="B203" s="13" t="s">
        <v>392</v>
      </c>
      <c r="C203" s="13" t="s">
        <v>402</v>
      </c>
      <c r="D203" s="13">
        <v>500</v>
      </c>
      <c r="E203" s="13">
        <v>5000</v>
      </c>
      <c r="F203" s="13">
        <v>976</v>
      </c>
      <c r="G203" s="13">
        <v>976</v>
      </c>
      <c r="H203" s="13">
        <v>761</v>
      </c>
      <c r="I203" s="13">
        <v>761</v>
      </c>
      <c r="J203" s="13">
        <v>1350</v>
      </c>
      <c r="K203" s="13">
        <v>378</v>
      </c>
      <c r="L203" s="13">
        <v>1053</v>
      </c>
      <c r="M203" s="13">
        <v>892</v>
      </c>
      <c r="N203" s="13">
        <v>378</v>
      </c>
      <c r="O203" s="13">
        <v>1100</v>
      </c>
      <c r="P203" s="13">
        <v>73</v>
      </c>
      <c r="Q203" s="13">
        <v>6000</v>
      </c>
      <c r="R203" s="13">
        <v>3500</v>
      </c>
      <c r="S203" s="13">
        <v>250</v>
      </c>
      <c r="T203" s="13">
        <v>160</v>
      </c>
      <c r="U203" s="13" t="s">
        <v>394</v>
      </c>
    </row>
    <row r="204" spans="1:21" x14ac:dyDescent="0.25">
      <c r="A204" s="13" t="s">
        <v>391</v>
      </c>
      <c r="B204" s="13" t="s">
        <v>392</v>
      </c>
      <c r="C204" s="13" t="s">
        <v>403</v>
      </c>
      <c r="D204" s="13">
        <v>650</v>
      </c>
      <c r="E204" s="13">
        <v>6500</v>
      </c>
      <c r="F204" s="13">
        <v>1063</v>
      </c>
      <c r="G204" s="13">
        <v>1063</v>
      </c>
      <c r="H204" s="13">
        <v>829</v>
      </c>
      <c r="I204" s="13">
        <v>829</v>
      </c>
      <c r="J204" s="13">
        <v>1620</v>
      </c>
      <c r="K204" s="13">
        <v>453</v>
      </c>
      <c r="L204" s="13">
        <v>1263</v>
      </c>
      <c r="M204" s="13">
        <v>1087</v>
      </c>
      <c r="N204" s="13">
        <v>453</v>
      </c>
      <c r="O204" s="13">
        <v>1430</v>
      </c>
      <c r="P204" s="13">
        <v>83</v>
      </c>
      <c r="Q204" s="13">
        <v>7800</v>
      </c>
      <c r="R204" s="13">
        <v>4550</v>
      </c>
      <c r="S204" s="13">
        <v>250</v>
      </c>
      <c r="T204" s="13">
        <v>160</v>
      </c>
      <c r="U204" s="13" t="s">
        <v>394</v>
      </c>
    </row>
    <row r="205" spans="1:21" x14ac:dyDescent="0.25">
      <c r="A205" s="13" t="s">
        <v>404</v>
      </c>
      <c r="B205" s="13" t="s">
        <v>392</v>
      </c>
      <c r="C205" s="13" t="s">
        <v>405</v>
      </c>
      <c r="D205" s="13">
        <v>120</v>
      </c>
      <c r="E205" s="13">
        <v>1200</v>
      </c>
      <c r="F205" s="13">
        <v>656</v>
      </c>
      <c r="G205" s="13">
        <v>656</v>
      </c>
      <c r="H205" s="13">
        <v>511</v>
      </c>
      <c r="I205" s="13">
        <v>511</v>
      </c>
      <c r="J205" s="13">
        <v>666</v>
      </c>
      <c r="K205" s="13">
        <v>186</v>
      </c>
      <c r="L205" s="13">
        <v>519</v>
      </c>
      <c r="M205" s="13">
        <v>400</v>
      </c>
      <c r="N205" s="13">
        <v>186</v>
      </c>
      <c r="O205" s="13">
        <v>264</v>
      </c>
      <c r="P205" s="13">
        <v>36</v>
      </c>
      <c r="Q205" s="13">
        <v>1440</v>
      </c>
      <c r="R205" s="13">
        <v>840</v>
      </c>
      <c r="S205" s="13">
        <v>150</v>
      </c>
      <c r="T205" s="13">
        <v>100</v>
      </c>
      <c r="U205" s="13" t="s">
        <v>394</v>
      </c>
    </row>
    <row r="206" spans="1:21" x14ac:dyDescent="0.25">
      <c r="A206" s="13" t="s">
        <v>404</v>
      </c>
      <c r="B206" s="13" t="s">
        <v>392</v>
      </c>
      <c r="C206" s="13" t="s">
        <v>406</v>
      </c>
      <c r="D206" s="13">
        <v>180</v>
      </c>
      <c r="E206" s="13">
        <v>1800</v>
      </c>
      <c r="F206" s="13">
        <v>725</v>
      </c>
      <c r="G206" s="13">
        <v>725</v>
      </c>
      <c r="H206" s="13">
        <v>565</v>
      </c>
      <c r="I206" s="13">
        <v>565</v>
      </c>
      <c r="J206" s="13">
        <v>774</v>
      </c>
      <c r="K206" s="13">
        <v>216</v>
      </c>
      <c r="L206" s="13">
        <v>603</v>
      </c>
      <c r="M206" s="13">
        <v>478</v>
      </c>
      <c r="N206" s="13">
        <v>216</v>
      </c>
      <c r="O206" s="13">
        <v>396</v>
      </c>
      <c r="P206" s="13">
        <v>44</v>
      </c>
      <c r="Q206" s="13">
        <v>2160</v>
      </c>
      <c r="R206" s="13">
        <v>1260</v>
      </c>
      <c r="S206" s="13">
        <v>150</v>
      </c>
      <c r="T206" s="13">
        <v>100</v>
      </c>
      <c r="U206" s="13" t="s">
        <v>394</v>
      </c>
    </row>
    <row r="207" spans="1:21" x14ac:dyDescent="0.25">
      <c r="A207" s="13" t="s">
        <v>404</v>
      </c>
      <c r="B207" s="13" t="s">
        <v>392</v>
      </c>
      <c r="C207" s="13" t="s">
        <v>407</v>
      </c>
      <c r="D207" s="13">
        <v>250</v>
      </c>
      <c r="E207" s="13">
        <v>2500</v>
      </c>
      <c r="F207" s="13">
        <v>792</v>
      </c>
      <c r="G207" s="13">
        <v>792</v>
      </c>
      <c r="H207" s="13">
        <v>617</v>
      </c>
      <c r="I207" s="13">
        <v>617</v>
      </c>
      <c r="J207" s="13">
        <v>900</v>
      </c>
      <c r="K207" s="13">
        <v>252</v>
      </c>
      <c r="L207" s="13">
        <v>702</v>
      </c>
      <c r="M207" s="13">
        <v>568</v>
      </c>
      <c r="N207" s="13">
        <v>252</v>
      </c>
      <c r="O207" s="13">
        <v>550</v>
      </c>
      <c r="P207" s="13">
        <v>52</v>
      </c>
      <c r="Q207" s="13">
        <v>3000</v>
      </c>
      <c r="R207" s="13">
        <v>1750</v>
      </c>
      <c r="S207" s="13">
        <v>200</v>
      </c>
      <c r="T207" s="13">
        <v>125</v>
      </c>
      <c r="U207" s="13" t="s">
        <v>394</v>
      </c>
    </row>
    <row r="208" spans="1:21" x14ac:dyDescent="0.25">
      <c r="A208" s="13" t="s">
        <v>404</v>
      </c>
      <c r="B208" s="13" t="s">
        <v>392</v>
      </c>
      <c r="C208" s="13" t="s">
        <v>408</v>
      </c>
      <c r="D208" s="13">
        <v>300</v>
      </c>
      <c r="E208" s="13">
        <v>3000</v>
      </c>
      <c r="F208" s="13">
        <v>834</v>
      </c>
      <c r="G208" s="13">
        <v>834</v>
      </c>
      <c r="H208" s="13">
        <v>650</v>
      </c>
      <c r="I208" s="13">
        <v>650</v>
      </c>
      <c r="J208" s="13">
        <v>990</v>
      </c>
      <c r="K208" s="13">
        <v>277</v>
      </c>
      <c r="L208" s="13">
        <v>772</v>
      </c>
      <c r="M208" s="13">
        <v>633</v>
      </c>
      <c r="N208" s="13">
        <v>277</v>
      </c>
      <c r="O208" s="13">
        <v>660</v>
      </c>
      <c r="P208" s="13">
        <v>57</v>
      </c>
      <c r="Q208" s="13">
        <v>3600</v>
      </c>
      <c r="R208" s="13">
        <v>2100</v>
      </c>
      <c r="S208" s="13">
        <v>200</v>
      </c>
      <c r="T208" s="13">
        <v>125</v>
      </c>
      <c r="U208" s="13" t="s">
        <v>394</v>
      </c>
    </row>
    <row r="209" spans="1:21" x14ac:dyDescent="0.25">
      <c r="A209" s="13" t="s">
        <v>404</v>
      </c>
      <c r="B209" s="13" t="s">
        <v>392</v>
      </c>
      <c r="C209" s="13" t="s">
        <v>409</v>
      </c>
      <c r="D209" s="13">
        <v>400</v>
      </c>
      <c r="E209" s="13">
        <v>4000</v>
      </c>
      <c r="F209" s="13">
        <v>910</v>
      </c>
      <c r="G209" s="13">
        <v>910</v>
      </c>
      <c r="H209" s="13">
        <v>709</v>
      </c>
      <c r="I209" s="13">
        <v>709</v>
      </c>
      <c r="J209" s="13">
        <v>1170</v>
      </c>
      <c r="K209" s="13">
        <v>327</v>
      </c>
      <c r="L209" s="13">
        <v>912</v>
      </c>
      <c r="M209" s="13">
        <v>763</v>
      </c>
      <c r="N209" s="13">
        <v>327</v>
      </c>
      <c r="O209" s="13">
        <v>880</v>
      </c>
      <c r="P209" s="13">
        <v>65</v>
      </c>
      <c r="Q209" s="13">
        <v>4800</v>
      </c>
      <c r="R209" s="13">
        <v>2800</v>
      </c>
      <c r="S209" s="13">
        <v>200</v>
      </c>
      <c r="T209" s="13">
        <v>125</v>
      </c>
      <c r="U209" s="13" t="s">
        <v>394</v>
      </c>
    </row>
    <row r="210" spans="1:21" x14ac:dyDescent="0.25">
      <c r="A210" s="13" t="s">
        <v>404</v>
      </c>
      <c r="B210" s="13" t="s">
        <v>392</v>
      </c>
      <c r="C210" s="13" t="s">
        <v>410</v>
      </c>
      <c r="D210" s="13">
        <v>500</v>
      </c>
      <c r="E210" s="13">
        <v>5000</v>
      </c>
      <c r="F210" s="13">
        <v>976</v>
      </c>
      <c r="G210" s="13">
        <v>976</v>
      </c>
      <c r="H210" s="13">
        <v>761</v>
      </c>
      <c r="I210" s="13">
        <v>761</v>
      </c>
      <c r="J210" s="13">
        <v>1350</v>
      </c>
      <c r="K210" s="13">
        <v>378</v>
      </c>
      <c r="L210" s="13">
        <v>1053</v>
      </c>
      <c r="M210" s="13">
        <v>892</v>
      </c>
      <c r="N210" s="13">
        <v>378</v>
      </c>
      <c r="O210" s="13">
        <v>1100</v>
      </c>
      <c r="P210" s="13">
        <v>73</v>
      </c>
      <c r="Q210" s="13">
        <v>6000</v>
      </c>
      <c r="R210" s="13">
        <v>3500</v>
      </c>
      <c r="S210" s="13">
        <v>250</v>
      </c>
      <c r="T210" s="13">
        <v>160</v>
      </c>
      <c r="U210" s="13" t="s">
        <v>394</v>
      </c>
    </row>
    <row r="211" spans="1:21" x14ac:dyDescent="0.25">
      <c r="A211" s="13" t="s">
        <v>404</v>
      </c>
      <c r="B211" s="13" t="s">
        <v>392</v>
      </c>
      <c r="C211" s="13" t="s">
        <v>411</v>
      </c>
      <c r="D211" s="13">
        <v>650</v>
      </c>
      <c r="E211" s="13">
        <v>6500</v>
      </c>
      <c r="F211" s="13">
        <v>1063</v>
      </c>
      <c r="G211" s="13">
        <v>1063</v>
      </c>
      <c r="H211" s="13">
        <v>829</v>
      </c>
      <c r="I211" s="13">
        <v>829</v>
      </c>
      <c r="J211" s="13">
        <v>1620</v>
      </c>
      <c r="K211" s="13">
        <v>453</v>
      </c>
      <c r="L211" s="13">
        <v>1263</v>
      </c>
      <c r="M211" s="13">
        <v>1087</v>
      </c>
      <c r="N211" s="13">
        <v>453</v>
      </c>
      <c r="O211" s="13">
        <v>1430</v>
      </c>
      <c r="P211" s="13">
        <v>83</v>
      </c>
      <c r="Q211" s="13">
        <v>7800</v>
      </c>
      <c r="R211" s="13">
        <v>4550</v>
      </c>
      <c r="S211" s="13">
        <v>250</v>
      </c>
      <c r="T211" s="13">
        <v>160</v>
      </c>
      <c r="U211" s="13" t="s">
        <v>394</v>
      </c>
    </row>
    <row r="212" spans="1:21" x14ac:dyDescent="0.25">
      <c r="A212" s="13" t="s">
        <v>404</v>
      </c>
      <c r="B212" s="13" t="s">
        <v>392</v>
      </c>
      <c r="C212" s="13" t="s">
        <v>412</v>
      </c>
      <c r="D212" s="13">
        <v>800</v>
      </c>
      <c r="E212" s="13">
        <v>8000</v>
      </c>
      <c r="F212" s="13">
        <v>1141</v>
      </c>
      <c r="G212" s="13">
        <v>1141</v>
      </c>
      <c r="H212" s="13">
        <v>889</v>
      </c>
      <c r="I212" s="13">
        <v>889</v>
      </c>
      <c r="J212" s="13">
        <v>1890</v>
      </c>
      <c r="K212" s="13">
        <v>529</v>
      </c>
      <c r="L212" s="13">
        <v>1474</v>
      </c>
      <c r="M212" s="13">
        <v>1281</v>
      </c>
      <c r="N212" s="13">
        <v>529</v>
      </c>
      <c r="O212" s="13">
        <v>1760</v>
      </c>
      <c r="P212" s="13">
        <v>90</v>
      </c>
      <c r="Q212" s="13">
        <v>9600</v>
      </c>
      <c r="R212" s="13">
        <v>5600</v>
      </c>
      <c r="S212" s="13">
        <v>250</v>
      </c>
      <c r="T212" s="13">
        <v>160</v>
      </c>
      <c r="U212" s="13" t="s">
        <v>394</v>
      </c>
    </row>
    <row r="213" spans="1:21" x14ac:dyDescent="0.25">
      <c r="A213" s="13" t="s">
        <v>404</v>
      </c>
      <c r="B213" s="13" t="s">
        <v>392</v>
      </c>
      <c r="C213" s="13" t="s">
        <v>413</v>
      </c>
      <c r="D213" s="13">
        <v>1000</v>
      </c>
      <c r="E213" s="13">
        <v>10000</v>
      </c>
      <c r="F213" s="13">
        <v>1235</v>
      </c>
      <c r="G213" s="13">
        <v>1235</v>
      </c>
      <c r="H213" s="13">
        <v>963</v>
      </c>
      <c r="I213" s="13">
        <v>963</v>
      </c>
      <c r="J213" s="13">
        <v>2250</v>
      </c>
      <c r="K213" s="13">
        <v>630</v>
      </c>
      <c r="L213" s="13">
        <v>1755</v>
      </c>
      <c r="M213" s="13">
        <v>1540</v>
      </c>
      <c r="N213" s="13">
        <v>630</v>
      </c>
      <c r="O213" s="13">
        <v>2200</v>
      </c>
      <c r="P213" s="13">
        <v>90</v>
      </c>
      <c r="Q213" s="13">
        <v>12000</v>
      </c>
      <c r="R213" s="13">
        <v>7000</v>
      </c>
      <c r="S213" s="13">
        <v>250</v>
      </c>
      <c r="T213" s="13">
        <v>160</v>
      </c>
      <c r="U213" s="13" t="s">
        <v>394</v>
      </c>
    </row>
    <row r="214" spans="1:21" x14ac:dyDescent="0.25">
      <c r="A214" s="13" t="s">
        <v>404</v>
      </c>
      <c r="B214" s="13" t="s">
        <v>392</v>
      </c>
      <c r="C214" s="13" t="s">
        <v>414</v>
      </c>
      <c r="D214" s="13">
        <v>1200</v>
      </c>
      <c r="E214" s="13">
        <v>12000</v>
      </c>
      <c r="F214" s="13">
        <v>1319</v>
      </c>
      <c r="G214" s="13">
        <v>1319</v>
      </c>
      <c r="H214" s="13">
        <v>1028</v>
      </c>
      <c r="I214" s="13">
        <v>1028</v>
      </c>
      <c r="J214" s="13">
        <v>2610</v>
      </c>
      <c r="K214" s="13">
        <v>730</v>
      </c>
      <c r="L214" s="13">
        <v>2035</v>
      </c>
      <c r="M214" s="13">
        <v>1800</v>
      </c>
      <c r="N214" s="13">
        <v>730</v>
      </c>
      <c r="O214" s="13">
        <v>2640</v>
      </c>
      <c r="P214" s="13">
        <v>90</v>
      </c>
      <c r="Q214" s="13">
        <v>14400</v>
      </c>
      <c r="R214" s="13">
        <v>8400</v>
      </c>
      <c r="S214" s="13">
        <v>250</v>
      </c>
      <c r="T214" s="13">
        <v>160</v>
      </c>
      <c r="U214" s="13" t="s">
        <v>394</v>
      </c>
    </row>
    <row r="215" spans="1:21" x14ac:dyDescent="0.25">
      <c r="A215" s="13" t="s">
        <v>415</v>
      </c>
      <c r="B215" s="13" t="s">
        <v>392</v>
      </c>
      <c r="C215" s="13" t="s">
        <v>416</v>
      </c>
      <c r="D215" s="13">
        <v>15</v>
      </c>
      <c r="E215" s="13">
        <v>150</v>
      </c>
      <c r="F215" s="13">
        <v>458</v>
      </c>
      <c r="G215" s="13">
        <v>458</v>
      </c>
      <c r="H215" s="13">
        <v>357</v>
      </c>
      <c r="I215" s="13">
        <v>357</v>
      </c>
      <c r="J215" s="13">
        <v>477</v>
      </c>
      <c r="K215" s="13">
        <v>150</v>
      </c>
      <c r="L215" s="13">
        <v>372</v>
      </c>
      <c r="M215" s="13">
        <v>247</v>
      </c>
      <c r="N215" s="13">
        <v>150</v>
      </c>
      <c r="O215" s="13">
        <v>33</v>
      </c>
      <c r="P215" s="13">
        <v>18</v>
      </c>
      <c r="Q215" s="13">
        <v>180</v>
      </c>
      <c r="R215" s="13">
        <v>105</v>
      </c>
      <c r="S215" s="13">
        <v>150</v>
      </c>
      <c r="T215" s="13">
        <v>100</v>
      </c>
      <c r="U215" s="13" t="s">
        <v>394</v>
      </c>
    </row>
    <row r="216" spans="1:21" x14ac:dyDescent="0.25">
      <c r="A216" s="13" t="s">
        <v>415</v>
      </c>
      <c r="B216" s="13" t="s">
        <v>392</v>
      </c>
      <c r="C216" s="13" t="s">
        <v>417</v>
      </c>
      <c r="D216" s="13">
        <v>30</v>
      </c>
      <c r="E216" s="13">
        <v>300</v>
      </c>
      <c r="F216" s="13">
        <v>503</v>
      </c>
      <c r="G216" s="13">
        <v>503</v>
      </c>
      <c r="H216" s="13">
        <v>392</v>
      </c>
      <c r="I216" s="13">
        <v>392</v>
      </c>
      <c r="J216" s="13">
        <v>504</v>
      </c>
      <c r="K216" s="13">
        <v>150</v>
      </c>
      <c r="L216" s="13">
        <v>393</v>
      </c>
      <c r="M216" s="13">
        <v>274</v>
      </c>
      <c r="N216" s="13">
        <v>150</v>
      </c>
      <c r="O216" s="13">
        <v>66</v>
      </c>
      <c r="P216" s="13">
        <v>18</v>
      </c>
      <c r="Q216" s="13">
        <v>360</v>
      </c>
      <c r="R216" s="13">
        <v>210</v>
      </c>
      <c r="S216" s="13">
        <v>150</v>
      </c>
      <c r="T216" s="13">
        <v>100</v>
      </c>
      <c r="U216" s="13" t="s">
        <v>394</v>
      </c>
    </row>
    <row r="217" spans="1:21" x14ac:dyDescent="0.25">
      <c r="A217" s="13" t="s">
        <v>415</v>
      </c>
      <c r="B217" s="13" t="s">
        <v>392</v>
      </c>
      <c r="C217" s="13" t="s">
        <v>418</v>
      </c>
      <c r="D217" s="13">
        <v>50</v>
      </c>
      <c r="E217" s="13">
        <v>500</v>
      </c>
      <c r="F217" s="13">
        <v>547</v>
      </c>
      <c r="G217" s="13">
        <v>547</v>
      </c>
      <c r="H217" s="13">
        <v>426</v>
      </c>
      <c r="I217" s="13">
        <v>426</v>
      </c>
      <c r="J217" s="13">
        <v>540</v>
      </c>
      <c r="K217" s="13">
        <v>151</v>
      </c>
      <c r="L217" s="13">
        <v>421</v>
      </c>
      <c r="M217" s="13">
        <v>309</v>
      </c>
      <c r="N217" s="13">
        <v>151</v>
      </c>
      <c r="O217" s="13">
        <v>110</v>
      </c>
      <c r="P217" s="13">
        <v>23</v>
      </c>
      <c r="Q217" s="13">
        <v>600</v>
      </c>
      <c r="R217" s="13">
        <v>350</v>
      </c>
      <c r="S217" s="13">
        <v>150</v>
      </c>
      <c r="T217" s="13">
        <v>100</v>
      </c>
      <c r="U217" s="13" t="s">
        <v>394</v>
      </c>
    </row>
    <row r="218" spans="1:21" x14ac:dyDescent="0.25">
      <c r="A218" s="13" t="s">
        <v>415</v>
      </c>
      <c r="B218" s="13" t="s">
        <v>392</v>
      </c>
      <c r="C218" s="13" t="s">
        <v>419</v>
      </c>
      <c r="D218" s="13">
        <v>100</v>
      </c>
      <c r="E218" s="13">
        <v>1000</v>
      </c>
      <c r="F218" s="13">
        <v>630</v>
      </c>
      <c r="G218" s="13">
        <v>630</v>
      </c>
      <c r="H218" s="13">
        <v>491</v>
      </c>
      <c r="I218" s="13">
        <v>491</v>
      </c>
      <c r="J218" s="13">
        <v>630</v>
      </c>
      <c r="K218" s="13">
        <v>176</v>
      </c>
      <c r="L218" s="13">
        <v>491</v>
      </c>
      <c r="M218" s="13">
        <v>374</v>
      </c>
      <c r="N218" s="13">
        <v>176</v>
      </c>
      <c r="O218" s="13">
        <v>220</v>
      </c>
      <c r="P218" s="13">
        <v>33</v>
      </c>
      <c r="Q218" s="13">
        <v>1200</v>
      </c>
      <c r="R218" s="13">
        <v>700</v>
      </c>
      <c r="S218" s="13">
        <v>150</v>
      </c>
      <c r="T218" s="13">
        <v>100</v>
      </c>
      <c r="U218" s="13" t="s">
        <v>394</v>
      </c>
    </row>
    <row r="219" spans="1:21" x14ac:dyDescent="0.25">
      <c r="A219" s="13" t="s">
        <v>415</v>
      </c>
      <c r="B219" s="13" t="s">
        <v>392</v>
      </c>
      <c r="C219" s="13" t="s">
        <v>420</v>
      </c>
      <c r="D219" s="13">
        <v>130</v>
      </c>
      <c r="E219" s="13">
        <v>1300</v>
      </c>
      <c r="F219" s="13">
        <v>669</v>
      </c>
      <c r="G219" s="13">
        <v>669</v>
      </c>
      <c r="H219" s="13">
        <v>521</v>
      </c>
      <c r="I219" s="13">
        <v>521</v>
      </c>
      <c r="J219" s="13">
        <v>684</v>
      </c>
      <c r="K219" s="13">
        <v>191</v>
      </c>
      <c r="L219" s="13">
        <v>533</v>
      </c>
      <c r="M219" s="13">
        <v>413</v>
      </c>
      <c r="N219" s="13">
        <v>191</v>
      </c>
      <c r="O219" s="13">
        <v>286</v>
      </c>
      <c r="P219" s="13">
        <v>37</v>
      </c>
      <c r="Q219" s="13">
        <v>1560</v>
      </c>
      <c r="R219" s="13">
        <v>910</v>
      </c>
      <c r="S219" s="13">
        <v>150</v>
      </c>
      <c r="T219" s="13">
        <v>100</v>
      </c>
      <c r="U219" s="13" t="s">
        <v>394</v>
      </c>
    </row>
    <row r="220" spans="1:21" x14ac:dyDescent="0.25">
      <c r="A220" s="13" t="s">
        <v>415</v>
      </c>
      <c r="B220" s="13" t="s">
        <v>392</v>
      </c>
      <c r="C220" s="13" t="s">
        <v>421</v>
      </c>
      <c r="D220" s="13">
        <v>150</v>
      </c>
      <c r="E220" s="13">
        <v>1500</v>
      </c>
      <c r="F220" s="13">
        <v>692</v>
      </c>
      <c r="G220" s="13">
        <v>692</v>
      </c>
      <c r="H220" s="13">
        <v>539</v>
      </c>
      <c r="I220" s="13">
        <v>539</v>
      </c>
      <c r="J220" s="13">
        <v>720</v>
      </c>
      <c r="K220" s="13">
        <v>201</v>
      </c>
      <c r="L220" s="13">
        <v>561</v>
      </c>
      <c r="M220" s="13">
        <v>439</v>
      </c>
      <c r="N220" s="13">
        <v>201</v>
      </c>
      <c r="O220" s="13">
        <v>330</v>
      </c>
      <c r="P220" s="13">
        <v>40</v>
      </c>
      <c r="Q220" s="13">
        <v>1800</v>
      </c>
      <c r="R220" s="13">
        <v>1050</v>
      </c>
      <c r="S220" s="13">
        <v>150</v>
      </c>
      <c r="T220" s="13">
        <v>100</v>
      </c>
      <c r="U220" s="13" t="s">
        <v>394</v>
      </c>
    </row>
    <row r="221" spans="1:21" x14ac:dyDescent="0.25">
      <c r="A221" s="13" t="s">
        <v>415</v>
      </c>
      <c r="B221" s="13" t="s">
        <v>392</v>
      </c>
      <c r="C221" s="13" t="s">
        <v>422</v>
      </c>
      <c r="D221" s="13">
        <v>220</v>
      </c>
      <c r="E221" s="13">
        <v>2200</v>
      </c>
      <c r="F221" s="13">
        <v>765</v>
      </c>
      <c r="G221" s="13">
        <v>765</v>
      </c>
      <c r="H221" s="13">
        <v>596</v>
      </c>
      <c r="I221" s="13">
        <v>596</v>
      </c>
      <c r="J221" s="13">
        <v>846</v>
      </c>
      <c r="K221" s="13">
        <v>236</v>
      </c>
      <c r="L221" s="13">
        <v>659</v>
      </c>
      <c r="M221" s="13">
        <v>530</v>
      </c>
      <c r="N221" s="13">
        <v>236</v>
      </c>
      <c r="O221" s="13">
        <v>484</v>
      </c>
      <c r="P221" s="13">
        <v>48</v>
      </c>
      <c r="Q221" s="13">
        <v>2640</v>
      </c>
      <c r="R221" s="13">
        <v>1540</v>
      </c>
      <c r="S221" s="13">
        <v>200</v>
      </c>
      <c r="T221" s="13">
        <v>125</v>
      </c>
      <c r="U221" s="13" t="s">
        <v>394</v>
      </c>
    </row>
    <row r="222" spans="1:21" x14ac:dyDescent="0.25">
      <c r="A222" s="13" t="s">
        <v>415</v>
      </c>
      <c r="B222" s="13" t="s">
        <v>392</v>
      </c>
      <c r="C222" s="13" t="s">
        <v>423</v>
      </c>
      <c r="D222" s="13">
        <v>300</v>
      </c>
      <c r="E222" s="13">
        <v>3000</v>
      </c>
      <c r="F222" s="13">
        <v>834</v>
      </c>
      <c r="G222" s="13">
        <v>834</v>
      </c>
      <c r="H222" s="13">
        <v>650</v>
      </c>
      <c r="I222" s="13">
        <v>650</v>
      </c>
      <c r="J222" s="13">
        <v>990</v>
      </c>
      <c r="K222" s="13">
        <v>277</v>
      </c>
      <c r="L222" s="13">
        <v>772</v>
      </c>
      <c r="M222" s="13">
        <v>633</v>
      </c>
      <c r="N222" s="13">
        <v>277</v>
      </c>
      <c r="O222" s="13">
        <v>660</v>
      </c>
      <c r="P222" s="13">
        <v>57</v>
      </c>
      <c r="Q222" s="13">
        <v>3600</v>
      </c>
      <c r="R222" s="13">
        <v>2100</v>
      </c>
      <c r="S222" s="13">
        <v>200</v>
      </c>
      <c r="T222" s="13">
        <v>125</v>
      </c>
      <c r="U222" s="13" t="s">
        <v>394</v>
      </c>
    </row>
    <row r="223" spans="1:21" x14ac:dyDescent="0.25">
      <c r="A223" s="13" t="s">
        <v>415</v>
      </c>
      <c r="B223" s="13" t="s">
        <v>392</v>
      </c>
      <c r="C223" s="13" t="s">
        <v>424</v>
      </c>
      <c r="D223" s="13">
        <v>450</v>
      </c>
      <c r="E223" s="13">
        <v>4500</v>
      </c>
      <c r="F223" s="13">
        <v>943</v>
      </c>
      <c r="G223" s="13">
        <v>943</v>
      </c>
      <c r="H223" s="13">
        <v>735</v>
      </c>
      <c r="I223" s="13">
        <v>735</v>
      </c>
      <c r="J223" s="13">
        <v>1260</v>
      </c>
      <c r="K223" s="13">
        <v>352</v>
      </c>
      <c r="L223" s="13">
        <v>982</v>
      </c>
      <c r="M223" s="13">
        <v>828</v>
      </c>
      <c r="N223" s="13">
        <v>352</v>
      </c>
      <c r="O223" s="13">
        <v>990</v>
      </c>
      <c r="P223" s="13">
        <v>69</v>
      </c>
      <c r="Q223" s="13">
        <v>5400</v>
      </c>
      <c r="R223" s="13">
        <v>3150</v>
      </c>
      <c r="S223" s="13">
        <v>200</v>
      </c>
      <c r="T223" s="13">
        <v>125</v>
      </c>
      <c r="U223" s="13" t="s">
        <v>394</v>
      </c>
    </row>
    <row r="224" spans="1:21" x14ac:dyDescent="0.25">
      <c r="A224" s="13" t="s">
        <v>415</v>
      </c>
      <c r="B224" s="13" t="s">
        <v>392</v>
      </c>
      <c r="C224" s="13" t="s">
        <v>425</v>
      </c>
      <c r="D224" s="13">
        <v>500</v>
      </c>
      <c r="E224" s="13">
        <v>5000</v>
      </c>
      <c r="F224" s="13">
        <v>976</v>
      </c>
      <c r="G224" s="13">
        <v>976</v>
      </c>
      <c r="H224" s="13">
        <v>761</v>
      </c>
      <c r="I224" s="13">
        <v>761</v>
      </c>
      <c r="J224" s="13">
        <v>1350</v>
      </c>
      <c r="K224" s="13">
        <v>378</v>
      </c>
      <c r="L224" s="13">
        <v>1053</v>
      </c>
      <c r="M224" s="13">
        <v>892</v>
      </c>
      <c r="N224" s="13">
        <v>378</v>
      </c>
      <c r="O224" s="13">
        <v>1100</v>
      </c>
      <c r="P224" s="13">
        <v>73</v>
      </c>
      <c r="Q224" s="13">
        <v>6000</v>
      </c>
      <c r="R224" s="13">
        <v>3500</v>
      </c>
      <c r="S224" s="13">
        <v>250</v>
      </c>
      <c r="T224" s="13">
        <v>160</v>
      </c>
      <c r="U224" s="13" t="s">
        <v>394</v>
      </c>
    </row>
    <row r="225" spans="1:21" x14ac:dyDescent="0.25">
      <c r="A225" s="13" t="s">
        <v>426</v>
      </c>
      <c r="B225" s="13" t="s">
        <v>392</v>
      </c>
      <c r="C225" s="13" t="s">
        <v>427</v>
      </c>
      <c r="D225" s="13">
        <v>65</v>
      </c>
      <c r="E225" s="13">
        <v>650</v>
      </c>
      <c r="F225" s="13">
        <v>575</v>
      </c>
      <c r="G225" s="13">
        <v>575</v>
      </c>
      <c r="H225" s="13">
        <v>448</v>
      </c>
      <c r="I225" s="13">
        <v>448</v>
      </c>
      <c r="J225" s="13">
        <v>567</v>
      </c>
      <c r="K225" s="13">
        <v>158</v>
      </c>
      <c r="L225" s="13">
        <v>442</v>
      </c>
      <c r="M225" s="13">
        <v>329</v>
      </c>
      <c r="N225" s="13">
        <v>158</v>
      </c>
      <c r="O225" s="13">
        <v>143</v>
      </c>
      <c r="P225" s="13">
        <v>26</v>
      </c>
      <c r="Q225" s="13">
        <v>780</v>
      </c>
      <c r="R225" s="13">
        <v>455</v>
      </c>
      <c r="S225" s="13">
        <v>150</v>
      </c>
      <c r="T225" s="13">
        <v>100</v>
      </c>
      <c r="U225" s="13" t="s">
        <v>394</v>
      </c>
    </row>
    <row r="226" spans="1:21" x14ac:dyDescent="0.25">
      <c r="A226" s="13" t="s">
        <v>426</v>
      </c>
      <c r="B226" s="13" t="s">
        <v>392</v>
      </c>
      <c r="C226" s="13" t="s">
        <v>428</v>
      </c>
      <c r="D226" s="13">
        <v>85</v>
      </c>
      <c r="E226" s="13">
        <v>850</v>
      </c>
      <c r="F226" s="13">
        <v>608</v>
      </c>
      <c r="G226" s="13">
        <v>608</v>
      </c>
      <c r="H226" s="13">
        <v>474</v>
      </c>
      <c r="I226" s="13">
        <v>474</v>
      </c>
      <c r="J226" s="13">
        <v>603</v>
      </c>
      <c r="K226" s="13">
        <v>168</v>
      </c>
      <c r="L226" s="13">
        <v>470</v>
      </c>
      <c r="M226" s="13">
        <v>355</v>
      </c>
      <c r="N226" s="13">
        <v>168</v>
      </c>
      <c r="O226" s="13">
        <v>187</v>
      </c>
      <c r="P226" s="13">
        <v>30</v>
      </c>
      <c r="Q226" s="13">
        <v>1020</v>
      </c>
      <c r="R226" s="13">
        <v>595</v>
      </c>
      <c r="S226" s="13">
        <v>150</v>
      </c>
      <c r="T226" s="13">
        <v>100</v>
      </c>
      <c r="U226" s="13" t="s">
        <v>394</v>
      </c>
    </row>
    <row r="227" spans="1:21" x14ac:dyDescent="0.25">
      <c r="A227" s="13" t="s">
        <v>426</v>
      </c>
      <c r="B227" s="13" t="s">
        <v>392</v>
      </c>
      <c r="C227" s="13" t="s">
        <v>429</v>
      </c>
      <c r="D227" s="13">
        <v>105</v>
      </c>
      <c r="E227" s="13">
        <v>1050</v>
      </c>
      <c r="F227" s="13">
        <v>636</v>
      </c>
      <c r="G227" s="13">
        <v>636</v>
      </c>
      <c r="H227" s="13">
        <v>496</v>
      </c>
      <c r="I227" s="13">
        <v>496</v>
      </c>
      <c r="J227" s="13">
        <v>639</v>
      </c>
      <c r="K227" s="13">
        <v>178</v>
      </c>
      <c r="L227" s="13">
        <v>498</v>
      </c>
      <c r="M227" s="13">
        <v>381</v>
      </c>
      <c r="N227" s="13">
        <v>178</v>
      </c>
      <c r="O227" s="13">
        <v>231</v>
      </c>
      <c r="P227" s="13">
        <v>33</v>
      </c>
      <c r="Q227" s="13">
        <v>1260</v>
      </c>
      <c r="R227" s="13">
        <v>735</v>
      </c>
      <c r="S227" s="13">
        <v>150</v>
      </c>
      <c r="T227" s="13">
        <v>100</v>
      </c>
      <c r="U227" s="13" t="s">
        <v>394</v>
      </c>
    </row>
    <row r="228" spans="1:21" x14ac:dyDescent="0.25">
      <c r="A228" s="13" t="s">
        <v>426</v>
      </c>
      <c r="B228" s="13" t="s">
        <v>392</v>
      </c>
      <c r="C228" s="13" t="s">
        <v>430</v>
      </c>
      <c r="D228" s="13">
        <v>130</v>
      </c>
      <c r="E228" s="13">
        <v>1300</v>
      </c>
      <c r="F228" s="13">
        <v>669</v>
      </c>
      <c r="G228" s="13">
        <v>669</v>
      </c>
      <c r="H228" s="13">
        <v>521</v>
      </c>
      <c r="I228" s="13">
        <v>521</v>
      </c>
      <c r="J228" s="13">
        <v>684</v>
      </c>
      <c r="K228" s="13">
        <v>191</v>
      </c>
      <c r="L228" s="13">
        <v>533</v>
      </c>
      <c r="M228" s="13">
        <v>413</v>
      </c>
      <c r="N228" s="13">
        <v>191</v>
      </c>
      <c r="O228" s="13">
        <v>286</v>
      </c>
      <c r="P228" s="13">
        <v>37</v>
      </c>
      <c r="Q228" s="13">
        <v>1560</v>
      </c>
      <c r="R228" s="13">
        <v>910</v>
      </c>
      <c r="S228" s="13">
        <v>150</v>
      </c>
      <c r="T228" s="13">
        <v>100</v>
      </c>
      <c r="U228" s="13" t="s">
        <v>394</v>
      </c>
    </row>
    <row r="229" spans="1:21" x14ac:dyDescent="0.25">
      <c r="A229" s="13" t="s">
        <v>426</v>
      </c>
      <c r="B229" s="13" t="s">
        <v>392</v>
      </c>
      <c r="C229" s="13" t="s">
        <v>431</v>
      </c>
      <c r="D229" s="13">
        <v>160</v>
      </c>
      <c r="E229" s="13">
        <v>1600</v>
      </c>
      <c r="F229" s="13">
        <v>704</v>
      </c>
      <c r="G229" s="13">
        <v>704</v>
      </c>
      <c r="H229" s="13">
        <v>549</v>
      </c>
      <c r="I229" s="13">
        <v>549</v>
      </c>
      <c r="J229" s="13">
        <v>738</v>
      </c>
      <c r="K229" s="13">
        <v>206</v>
      </c>
      <c r="L229" s="13">
        <v>575</v>
      </c>
      <c r="M229" s="13">
        <v>452</v>
      </c>
      <c r="N229" s="13">
        <v>206</v>
      </c>
      <c r="O229" s="13">
        <v>352</v>
      </c>
      <c r="P229" s="13">
        <v>41</v>
      </c>
      <c r="Q229" s="13">
        <v>1920</v>
      </c>
      <c r="R229" s="13">
        <v>1120</v>
      </c>
      <c r="S229" s="13">
        <v>150</v>
      </c>
      <c r="T229" s="13">
        <v>100</v>
      </c>
      <c r="U229" s="13" t="s">
        <v>394</v>
      </c>
    </row>
    <row r="230" spans="1:21" x14ac:dyDescent="0.25">
      <c r="A230" s="13" t="s">
        <v>426</v>
      </c>
      <c r="B230" s="13" t="s">
        <v>392</v>
      </c>
      <c r="C230" s="13" t="s">
        <v>432</v>
      </c>
      <c r="D230" s="13">
        <v>220</v>
      </c>
      <c r="E230" s="13">
        <v>2200</v>
      </c>
      <c r="F230" s="13">
        <v>765</v>
      </c>
      <c r="G230" s="13">
        <v>765</v>
      </c>
      <c r="H230" s="13">
        <v>596</v>
      </c>
      <c r="I230" s="13">
        <v>596</v>
      </c>
      <c r="J230" s="13">
        <v>846</v>
      </c>
      <c r="K230" s="13">
        <v>236</v>
      </c>
      <c r="L230" s="13">
        <v>659</v>
      </c>
      <c r="M230" s="13">
        <v>530</v>
      </c>
      <c r="N230" s="13">
        <v>236</v>
      </c>
      <c r="O230" s="13">
        <v>484</v>
      </c>
      <c r="P230" s="13">
        <v>48</v>
      </c>
      <c r="Q230" s="13">
        <v>2640</v>
      </c>
      <c r="R230" s="13">
        <v>1540</v>
      </c>
      <c r="S230" s="13">
        <v>200</v>
      </c>
      <c r="T230" s="13">
        <v>125</v>
      </c>
      <c r="U230" s="13" t="s">
        <v>394</v>
      </c>
    </row>
    <row r="231" spans="1:21" x14ac:dyDescent="0.25">
      <c r="A231" s="13" t="s">
        <v>426</v>
      </c>
      <c r="B231" s="13" t="s">
        <v>392</v>
      </c>
      <c r="C231" s="13" t="s">
        <v>433</v>
      </c>
      <c r="D231" s="13">
        <v>280</v>
      </c>
      <c r="E231" s="13">
        <v>2800</v>
      </c>
      <c r="F231" s="13">
        <v>818</v>
      </c>
      <c r="G231" s="13">
        <v>818</v>
      </c>
      <c r="H231" s="13">
        <v>638</v>
      </c>
      <c r="I231" s="13">
        <v>638</v>
      </c>
      <c r="J231" s="13">
        <v>954</v>
      </c>
      <c r="K231" s="13">
        <v>267</v>
      </c>
      <c r="L231" s="13">
        <v>744</v>
      </c>
      <c r="M231" s="13">
        <v>607</v>
      </c>
      <c r="N231" s="13">
        <v>267</v>
      </c>
      <c r="O231" s="13">
        <v>616</v>
      </c>
      <c r="P231" s="13">
        <v>55</v>
      </c>
      <c r="Q231" s="13">
        <v>3360</v>
      </c>
      <c r="R231" s="13">
        <v>1960</v>
      </c>
      <c r="S231" s="13">
        <v>200</v>
      </c>
      <c r="T231" s="13">
        <v>125</v>
      </c>
      <c r="U231" s="13" t="s">
        <v>394</v>
      </c>
    </row>
    <row r="232" spans="1:21" x14ac:dyDescent="0.25">
      <c r="A232" s="13" t="s">
        <v>426</v>
      </c>
      <c r="B232" s="13" t="s">
        <v>392</v>
      </c>
      <c r="C232" s="13" t="s">
        <v>434</v>
      </c>
      <c r="D232" s="13">
        <v>350</v>
      </c>
      <c r="E232" s="13">
        <v>3500</v>
      </c>
      <c r="F232" s="13">
        <v>873</v>
      </c>
      <c r="G232" s="13">
        <v>873</v>
      </c>
      <c r="H232" s="13">
        <v>680</v>
      </c>
      <c r="I232" s="13">
        <v>680</v>
      </c>
      <c r="J232" s="13">
        <v>1080</v>
      </c>
      <c r="K232" s="13">
        <v>302</v>
      </c>
      <c r="L232" s="13">
        <v>842</v>
      </c>
      <c r="M232" s="13">
        <v>698</v>
      </c>
      <c r="N232" s="13">
        <v>302</v>
      </c>
      <c r="O232" s="13">
        <v>770</v>
      </c>
      <c r="P232" s="13">
        <v>61</v>
      </c>
      <c r="Q232" s="13">
        <v>4200</v>
      </c>
      <c r="R232" s="13">
        <v>2450</v>
      </c>
      <c r="S232" s="13">
        <v>200</v>
      </c>
      <c r="T232" s="13">
        <v>125</v>
      </c>
      <c r="U232" s="13" t="s">
        <v>394</v>
      </c>
    </row>
    <row r="233" spans="1:21" x14ac:dyDescent="0.25">
      <c r="A233" s="13" t="s">
        <v>426</v>
      </c>
      <c r="B233" s="13" t="s">
        <v>392</v>
      </c>
      <c r="C233" s="13" t="s">
        <v>435</v>
      </c>
      <c r="D233" s="13">
        <v>450</v>
      </c>
      <c r="E233" s="13">
        <v>4500</v>
      </c>
      <c r="F233" s="13">
        <v>943</v>
      </c>
      <c r="G233" s="13">
        <v>943</v>
      </c>
      <c r="H233" s="13">
        <v>735</v>
      </c>
      <c r="I233" s="13">
        <v>735</v>
      </c>
      <c r="J233" s="13">
        <v>1260</v>
      </c>
      <c r="K233" s="13">
        <v>352</v>
      </c>
      <c r="L233" s="13">
        <v>982</v>
      </c>
      <c r="M233" s="13">
        <v>828</v>
      </c>
      <c r="N233" s="13">
        <v>352</v>
      </c>
      <c r="O233" s="13">
        <v>990</v>
      </c>
      <c r="P233" s="13">
        <v>69</v>
      </c>
      <c r="Q233" s="13">
        <v>5400</v>
      </c>
      <c r="R233" s="13">
        <v>3150</v>
      </c>
      <c r="S233" s="13">
        <v>200</v>
      </c>
      <c r="T233" s="13">
        <v>125</v>
      </c>
      <c r="U233" s="13" t="s">
        <v>394</v>
      </c>
    </row>
    <row r="234" spans="1:21" x14ac:dyDescent="0.25">
      <c r="A234" s="13" t="s">
        <v>426</v>
      </c>
      <c r="B234" s="13" t="s">
        <v>392</v>
      </c>
      <c r="C234" s="13" t="s">
        <v>436</v>
      </c>
      <c r="D234" s="13">
        <v>550</v>
      </c>
      <c r="E234" s="13">
        <v>5500</v>
      </c>
      <c r="F234" s="13">
        <v>1006</v>
      </c>
      <c r="G234" s="13">
        <v>1006</v>
      </c>
      <c r="H234" s="13">
        <v>784</v>
      </c>
      <c r="I234" s="13">
        <v>784</v>
      </c>
      <c r="J234" s="13">
        <v>1440</v>
      </c>
      <c r="K234" s="13">
        <v>403</v>
      </c>
      <c r="L234" s="13">
        <v>1123</v>
      </c>
      <c r="M234" s="13">
        <v>957</v>
      </c>
      <c r="N234" s="13">
        <v>403</v>
      </c>
      <c r="O234" s="13">
        <v>1210</v>
      </c>
      <c r="P234" s="13">
        <v>77</v>
      </c>
      <c r="Q234" s="13">
        <v>6600</v>
      </c>
      <c r="R234" s="13">
        <v>3850</v>
      </c>
      <c r="S234" s="13">
        <v>250</v>
      </c>
      <c r="T234" s="13">
        <v>160</v>
      </c>
      <c r="U234" s="13" t="s">
        <v>394</v>
      </c>
    </row>
    <row r="235" spans="1:21" x14ac:dyDescent="0.25">
      <c r="A235" s="13" t="s">
        <v>437</v>
      </c>
      <c r="B235" s="13" t="s">
        <v>392</v>
      </c>
      <c r="C235" s="13" t="s">
        <v>438</v>
      </c>
      <c r="D235" s="13">
        <v>60</v>
      </c>
      <c r="E235" s="13">
        <v>600</v>
      </c>
      <c r="F235" s="13">
        <v>566</v>
      </c>
      <c r="G235" s="13">
        <v>566</v>
      </c>
      <c r="H235" s="13">
        <v>441</v>
      </c>
      <c r="I235" s="13">
        <v>441</v>
      </c>
      <c r="J235" s="13">
        <v>558</v>
      </c>
      <c r="K235" s="13">
        <v>156</v>
      </c>
      <c r="L235" s="13">
        <v>435</v>
      </c>
      <c r="M235" s="13">
        <v>322</v>
      </c>
      <c r="N235" s="13">
        <v>156</v>
      </c>
      <c r="O235" s="13">
        <v>132</v>
      </c>
      <c r="P235" s="13">
        <v>25</v>
      </c>
      <c r="Q235" s="13">
        <v>720</v>
      </c>
      <c r="R235" s="13">
        <v>420</v>
      </c>
      <c r="S235" s="13">
        <v>150</v>
      </c>
      <c r="T235" s="13">
        <v>100</v>
      </c>
      <c r="U235" s="13" t="s">
        <v>394</v>
      </c>
    </row>
    <row r="236" spans="1:21" x14ac:dyDescent="0.25">
      <c r="A236" s="13" t="s">
        <v>437</v>
      </c>
      <c r="B236" s="13" t="s">
        <v>392</v>
      </c>
      <c r="C236" s="13" t="s">
        <v>439</v>
      </c>
      <c r="D236" s="13">
        <v>90</v>
      </c>
      <c r="E236" s="13">
        <v>900</v>
      </c>
      <c r="F236" s="13">
        <v>615</v>
      </c>
      <c r="G236" s="13">
        <v>615</v>
      </c>
      <c r="H236" s="13">
        <v>479</v>
      </c>
      <c r="I236" s="13">
        <v>479</v>
      </c>
      <c r="J236" s="13">
        <v>612</v>
      </c>
      <c r="K236" s="13">
        <v>171</v>
      </c>
      <c r="L236" s="13">
        <v>477</v>
      </c>
      <c r="M236" s="13">
        <v>361</v>
      </c>
      <c r="N236" s="13">
        <v>171</v>
      </c>
      <c r="O236" s="13">
        <v>198</v>
      </c>
      <c r="P236" s="13">
        <v>31</v>
      </c>
      <c r="Q236" s="13">
        <v>1080</v>
      </c>
      <c r="R236" s="13">
        <v>630</v>
      </c>
      <c r="S236" s="13">
        <v>150</v>
      </c>
      <c r="T236" s="13">
        <v>100</v>
      </c>
      <c r="U236" s="13" t="s">
        <v>394</v>
      </c>
    </row>
    <row r="237" spans="1:21" x14ac:dyDescent="0.25">
      <c r="A237" s="13" t="s">
        <v>437</v>
      </c>
      <c r="B237" s="13" t="s">
        <v>392</v>
      </c>
      <c r="C237" s="13" t="s">
        <v>440</v>
      </c>
      <c r="D237" s="13">
        <v>120</v>
      </c>
      <c r="E237" s="13">
        <v>1200</v>
      </c>
      <c r="F237" s="13">
        <v>656</v>
      </c>
      <c r="G237" s="13">
        <v>656</v>
      </c>
      <c r="H237" s="13">
        <v>511</v>
      </c>
      <c r="I237" s="13">
        <v>511</v>
      </c>
      <c r="J237" s="13">
        <v>666</v>
      </c>
      <c r="K237" s="13">
        <v>186</v>
      </c>
      <c r="L237" s="13">
        <v>519</v>
      </c>
      <c r="M237" s="13">
        <v>400</v>
      </c>
      <c r="N237" s="13">
        <v>186</v>
      </c>
      <c r="O237" s="13">
        <v>264</v>
      </c>
      <c r="P237" s="13">
        <v>36</v>
      </c>
      <c r="Q237" s="13">
        <v>1440</v>
      </c>
      <c r="R237" s="13">
        <v>840</v>
      </c>
      <c r="S237" s="13">
        <v>150</v>
      </c>
      <c r="T237" s="13">
        <v>100</v>
      </c>
      <c r="U237" s="13" t="s">
        <v>394</v>
      </c>
    </row>
    <row r="238" spans="1:21" x14ac:dyDescent="0.25">
      <c r="A238" s="13" t="s">
        <v>437</v>
      </c>
      <c r="B238" s="13" t="s">
        <v>392</v>
      </c>
      <c r="C238" s="13" t="s">
        <v>441</v>
      </c>
      <c r="D238" s="13">
        <v>160</v>
      </c>
      <c r="E238" s="13">
        <v>1600</v>
      </c>
      <c r="F238" s="13">
        <v>704</v>
      </c>
      <c r="G238" s="13">
        <v>704</v>
      </c>
      <c r="H238" s="13">
        <v>549</v>
      </c>
      <c r="I238" s="13">
        <v>549</v>
      </c>
      <c r="J238" s="13">
        <v>738</v>
      </c>
      <c r="K238" s="13">
        <v>206</v>
      </c>
      <c r="L238" s="13">
        <v>575</v>
      </c>
      <c r="M238" s="13">
        <v>452</v>
      </c>
      <c r="N238" s="13">
        <v>206</v>
      </c>
      <c r="O238" s="13">
        <v>352</v>
      </c>
      <c r="P238" s="13">
        <v>41</v>
      </c>
      <c r="Q238" s="13">
        <v>1920</v>
      </c>
      <c r="R238" s="13">
        <v>1120</v>
      </c>
      <c r="S238" s="13">
        <v>150</v>
      </c>
      <c r="T238" s="13">
        <v>100</v>
      </c>
      <c r="U238" s="13" t="s">
        <v>394</v>
      </c>
    </row>
    <row r="239" spans="1:21" x14ac:dyDescent="0.25">
      <c r="A239" s="13" t="s">
        <v>437</v>
      </c>
      <c r="B239" s="13" t="s">
        <v>392</v>
      </c>
      <c r="C239" s="13" t="s">
        <v>442</v>
      </c>
      <c r="D239" s="13">
        <v>210</v>
      </c>
      <c r="E239" s="13">
        <v>2100</v>
      </c>
      <c r="F239" s="13">
        <v>755</v>
      </c>
      <c r="G239" s="13">
        <v>755</v>
      </c>
      <c r="H239" s="13">
        <v>588</v>
      </c>
      <c r="I239" s="13">
        <v>588</v>
      </c>
      <c r="J239" s="13">
        <v>828</v>
      </c>
      <c r="K239" s="13">
        <v>231</v>
      </c>
      <c r="L239" s="13">
        <v>645</v>
      </c>
      <c r="M239" s="13">
        <v>517</v>
      </c>
      <c r="N239" s="13">
        <v>231</v>
      </c>
      <c r="O239" s="13">
        <v>462</v>
      </c>
      <c r="P239" s="13">
        <v>47</v>
      </c>
      <c r="Q239" s="13">
        <v>2520</v>
      </c>
      <c r="R239" s="13">
        <v>1470</v>
      </c>
      <c r="S239" s="13">
        <v>200</v>
      </c>
      <c r="T239" s="13">
        <v>125</v>
      </c>
      <c r="U239" s="13" t="s">
        <v>394</v>
      </c>
    </row>
    <row r="240" spans="1:21" x14ac:dyDescent="0.25">
      <c r="A240" s="13" t="s">
        <v>437</v>
      </c>
      <c r="B240" s="13" t="s">
        <v>392</v>
      </c>
      <c r="C240" s="13" t="s">
        <v>443</v>
      </c>
      <c r="D240" s="13">
        <v>300</v>
      </c>
      <c r="E240" s="13">
        <v>3000</v>
      </c>
      <c r="F240" s="13">
        <v>834</v>
      </c>
      <c r="G240" s="13">
        <v>834</v>
      </c>
      <c r="H240" s="13">
        <v>650</v>
      </c>
      <c r="I240" s="13">
        <v>650</v>
      </c>
      <c r="J240" s="13">
        <v>990</v>
      </c>
      <c r="K240" s="13">
        <v>277</v>
      </c>
      <c r="L240" s="13">
        <v>772</v>
      </c>
      <c r="M240" s="13">
        <v>633</v>
      </c>
      <c r="N240" s="13">
        <v>277</v>
      </c>
      <c r="O240" s="13">
        <v>660</v>
      </c>
      <c r="P240" s="13">
        <v>57</v>
      </c>
      <c r="Q240" s="13">
        <v>3600</v>
      </c>
      <c r="R240" s="13">
        <v>2100</v>
      </c>
      <c r="S240" s="13">
        <v>200</v>
      </c>
      <c r="T240" s="13">
        <v>125</v>
      </c>
      <c r="U240" s="13" t="s">
        <v>394</v>
      </c>
    </row>
    <row r="241" spans="1:21" x14ac:dyDescent="0.25">
      <c r="A241" s="13" t="s">
        <v>437</v>
      </c>
      <c r="B241" s="13" t="s">
        <v>392</v>
      </c>
      <c r="C241" s="13" t="s">
        <v>444</v>
      </c>
      <c r="D241" s="13">
        <v>400</v>
      </c>
      <c r="E241" s="13">
        <v>4000</v>
      </c>
      <c r="F241" s="13">
        <v>910</v>
      </c>
      <c r="G241" s="13">
        <v>910</v>
      </c>
      <c r="H241" s="13">
        <v>709</v>
      </c>
      <c r="I241" s="13">
        <v>709</v>
      </c>
      <c r="J241" s="13">
        <v>1170</v>
      </c>
      <c r="K241" s="13">
        <v>327</v>
      </c>
      <c r="L241" s="13">
        <v>912</v>
      </c>
      <c r="M241" s="13">
        <v>763</v>
      </c>
      <c r="N241" s="13">
        <v>327</v>
      </c>
      <c r="O241" s="13">
        <v>880</v>
      </c>
      <c r="P241" s="13">
        <v>65</v>
      </c>
      <c r="Q241" s="13">
        <v>4800</v>
      </c>
      <c r="R241" s="13">
        <v>2800</v>
      </c>
      <c r="S241" s="13">
        <v>200</v>
      </c>
      <c r="T241" s="13">
        <v>125</v>
      </c>
      <c r="U241" s="13" t="s">
        <v>394</v>
      </c>
    </row>
    <row r="242" spans="1:21" x14ac:dyDescent="0.25">
      <c r="A242" s="13" t="s">
        <v>437</v>
      </c>
      <c r="B242" s="13" t="s">
        <v>392</v>
      </c>
      <c r="C242" s="13" t="s">
        <v>445</v>
      </c>
      <c r="D242" s="13">
        <v>500</v>
      </c>
      <c r="E242" s="13">
        <v>5000</v>
      </c>
      <c r="F242" s="13">
        <v>976</v>
      </c>
      <c r="G242" s="13">
        <v>976</v>
      </c>
      <c r="H242" s="13">
        <v>761</v>
      </c>
      <c r="I242" s="13">
        <v>761</v>
      </c>
      <c r="J242" s="13">
        <v>1350</v>
      </c>
      <c r="K242" s="13">
        <v>378</v>
      </c>
      <c r="L242" s="13">
        <v>1053</v>
      </c>
      <c r="M242" s="13">
        <v>892</v>
      </c>
      <c r="N242" s="13">
        <v>378</v>
      </c>
      <c r="O242" s="13">
        <v>1100</v>
      </c>
      <c r="P242" s="13">
        <v>73</v>
      </c>
      <c r="Q242" s="13">
        <v>6000</v>
      </c>
      <c r="R242" s="13">
        <v>3500</v>
      </c>
      <c r="S242" s="13">
        <v>250</v>
      </c>
      <c r="T242" s="13">
        <v>160</v>
      </c>
      <c r="U242" s="13" t="s">
        <v>394</v>
      </c>
    </row>
    <row r="243" spans="1:21" x14ac:dyDescent="0.25">
      <c r="A243" s="13" t="s">
        <v>437</v>
      </c>
      <c r="B243" s="13" t="s">
        <v>392</v>
      </c>
      <c r="C243" s="13" t="s">
        <v>446</v>
      </c>
      <c r="D243" s="13">
        <v>650</v>
      </c>
      <c r="E243" s="13">
        <v>6500</v>
      </c>
      <c r="F243" s="13">
        <v>1063</v>
      </c>
      <c r="G243" s="13">
        <v>1063</v>
      </c>
      <c r="H243" s="13">
        <v>829</v>
      </c>
      <c r="I243" s="13">
        <v>829</v>
      </c>
      <c r="J243" s="13">
        <v>1620</v>
      </c>
      <c r="K243" s="13">
        <v>453</v>
      </c>
      <c r="L243" s="13">
        <v>1263</v>
      </c>
      <c r="M243" s="13">
        <v>1087</v>
      </c>
      <c r="N243" s="13">
        <v>453</v>
      </c>
      <c r="O243" s="13">
        <v>1430</v>
      </c>
      <c r="P243" s="13">
        <v>83</v>
      </c>
      <c r="Q243" s="13">
        <v>7800</v>
      </c>
      <c r="R243" s="13">
        <v>4550</v>
      </c>
      <c r="S243" s="13">
        <v>250</v>
      </c>
      <c r="T243" s="13">
        <v>160</v>
      </c>
      <c r="U243" s="13" t="s">
        <v>394</v>
      </c>
    </row>
    <row r="244" spans="1:21" x14ac:dyDescent="0.25">
      <c r="A244" s="13" t="s">
        <v>437</v>
      </c>
      <c r="B244" s="13" t="s">
        <v>392</v>
      </c>
      <c r="C244" s="13" t="s">
        <v>447</v>
      </c>
      <c r="D244" s="13">
        <v>800</v>
      </c>
      <c r="E244" s="13">
        <v>8000</v>
      </c>
      <c r="F244" s="13">
        <v>1141</v>
      </c>
      <c r="G244" s="13">
        <v>1141</v>
      </c>
      <c r="H244" s="13">
        <v>889</v>
      </c>
      <c r="I244" s="13">
        <v>889</v>
      </c>
      <c r="J244" s="13">
        <v>1890</v>
      </c>
      <c r="K244" s="13">
        <v>529</v>
      </c>
      <c r="L244" s="13">
        <v>1474</v>
      </c>
      <c r="M244" s="13">
        <v>1281</v>
      </c>
      <c r="N244" s="13">
        <v>529</v>
      </c>
      <c r="O244" s="13">
        <v>1760</v>
      </c>
      <c r="P244" s="13">
        <v>90</v>
      </c>
      <c r="Q244" s="13">
        <v>9600</v>
      </c>
      <c r="R244" s="13">
        <v>5600</v>
      </c>
      <c r="S244" s="13">
        <v>250</v>
      </c>
      <c r="T244" s="13">
        <v>160</v>
      </c>
      <c r="U244" s="13" t="s">
        <v>394</v>
      </c>
    </row>
    <row r="245" spans="1:21" x14ac:dyDescent="0.25">
      <c r="A245" s="13" t="s">
        <v>448</v>
      </c>
      <c r="B245" s="13" t="s">
        <v>392</v>
      </c>
      <c r="C245" s="13" t="s">
        <v>449</v>
      </c>
      <c r="D245" s="13">
        <v>50</v>
      </c>
      <c r="E245" s="13">
        <v>500</v>
      </c>
      <c r="F245" s="13">
        <v>547</v>
      </c>
      <c r="G245" s="13">
        <v>547</v>
      </c>
      <c r="H245" s="13">
        <v>426</v>
      </c>
      <c r="I245" s="13">
        <v>426</v>
      </c>
      <c r="J245" s="13">
        <v>540</v>
      </c>
      <c r="K245" s="13">
        <v>151</v>
      </c>
      <c r="L245" s="13">
        <v>421</v>
      </c>
      <c r="M245" s="13">
        <v>309</v>
      </c>
      <c r="N245" s="13">
        <v>151</v>
      </c>
      <c r="O245" s="13">
        <v>110</v>
      </c>
      <c r="P245" s="13">
        <v>23</v>
      </c>
      <c r="Q245" s="13">
        <v>600</v>
      </c>
      <c r="R245" s="13">
        <v>350</v>
      </c>
      <c r="S245" s="13">
        <v>150</v>
      </c>
      <c r="T245" s="13">
        <v>100</v>
      </c>
      <c r="U245" s="13" t="s">
        <v>394</v>
      </c>
    </row>
    <row r="246" spans="1:21" x14ac:dyDescent="0.25">
      <c r="A246" s="13" t="s">
        <v>448</v>
      </c>
      <c r="B246" s="13" t="s">
        <v>392</v>
      </c>
      <c r="C246" s="13" t="s">
        <v>450</v>
      </c>
      <c r="D246" s="13">
        <v>75</v>
      </c>
      <c r="E246" s="13">
        <v>750</v>
      </c>
      <c r="F246" s="13">
        <v>592</v>
      </c>
      <c r="G246" s="13">
        <v>592</v>
      </c>
      <c r="H246" s="13">
        <v>461</v>
      </c>
      <c r="I246" s="13">
        <v>461</v>
      </c>
      <c r="J246" s="13">
        <v>585</v>
      </c>
      <c r="K246" s="13">
        <v>163</v>
      </c>
      <c r="L246" s="13">
        <v>456</v>
      </c>
      <c r="M246" s="13">
        <v>342</v>
      </c>
      <c r="N246" s="13">
        <v>163</v>
      </c>
      <c r="O246" s="13">
        <v>165</v>
      </c>
      <c r="P246" s="13">
        <v>28</v>
      </c>
      <c r="Q246" s="13">
        <v>900</v>
      </c>
      <c r="R246" s="13">
        <v>525</v>
      </c>
      <c r="S246" s="13">
        <v>150</v>
      </c>
      <c r="T246" s="13">
        <v>100</v>
      </c>
      <c r="U246" s="13" t="s">
        <v>394</v>
      </c>
    </row>
    <row r="247" spans="1:21" x14ac:dyDescent="0.25">
      <c r="A247" s="13" t="s">
        <v>448</v>
      </c>
      <c r="B247" s="13" t="s">
        <v>392</v>
      </c>
      <c r="C247" s="13" t="s">
        <v>451</v>
      </c>
      <c r="D247" s="13">
        <v>100</v>
      </c>
      <c r="E247" s="13">
        <v>1000</v>
      </c>
      <c r="F247" s="13">
        <v>630</v>
      </c>
      <c r="G247" s="13">
        <v>630</v>
      </c>
      <c r="H247" s="13">
        <v>491</v>
      </c>
      <c r="I247" s="13">
        <v>491</v>
      </c>
      <c r="J247" s="13">
        <v>630</v>
      </c>
      <c r="K247" s="13">
        <v>176</v>
      </c>
      <c r="L247" s="13">
        <v>491</v>
      </c>
      <c r="M247" s="13">
        <v>374</v>
      </c>
      <c r="N247" s="13">
        <v>176</v>
      </c>
      <c r="O247" s="13">
        <v>220</v>
      </c>
      <c r="P247" s="13">
        <v>33</v>
      </c>
      <c r="Q247" s="13">
        <v>1200</v>
      </c>
      <c r="R247" s="13">
        <v>700</v>
      </c>
      <c r="S247" s="13">
        <v>150</v>
      </c>
      <c r="T247" s="13">
        <v>100</v>
      </c>
      <c r="U247" s="13" t="s">
        <v>394</v>
      </c>
    </row>
    <row r="248" spans="1:21" x14ac:dyDescent="0.25">
      <c r="A248" s="13" t="s">
        <v>448</v>
      </c>
      <c r="B248" s="13" t="s">
        <v>392</v>
      </c>
      <c r="C248" s="13" t="s">
        <v>452</v>
      </c>
      <c r="D248" s="13">
        <v>130</v>
      </c>
      <c r="E248" s="13">
        <v>1300</v>
      </c>
      <c r="F248" s="13">
        <v>669</v>
      </c>
      <c r="G248" s="13">
        <v>669</v>
      </c>
      <c r="H248" s="13">
        <v>521</v>
      </c>
      <c r="I248" s="13">
        <v>521</v>
      </c>
      <c r="J248" s="13">
        <v>684</v>
      </c>
      <c r="K248" s="13">
        <v>191</v>
      </c>
      <c r="L248" s="13">
        <v>533</v>
      </c>
      <c r="M248" s="13">
        <v>413</v>
      </c>
      <c r="N248" s="13">
        <v>191</v>
      </c>
      <c r="O248" s="13">
        <v>286</v>
      </c>
      <c r="P248" s="13">
        <v>37</v>
      </c>
      <c r="Q248" s="13">
        <v>1560</v>
      </c>
      <c r="R248" s="13">
        <v>910</v>
      </c>
      <c r="S248" s="13">
        <v>150</v>
      </c>
      <c r="T248" s="13">
        <v>100</v>
      </c>
      <c r="U248" s="13" t="s">
        <v>394</v>
      </c>
    </row>
    <row r="249" spans="1:21" x14ac:dyDescent="0.25">
      <c r="A249" s="13" t="s">
        <v>448</v>
      </c>
      <c r="B249" s="13" t="s">
        <v>392</v>
      </c>
      <c r="C249" s="13" t="s">
        <v>453</v>
      </c>
      <c r="D249" s="13">
        <v>180</v>
      </c>
      <c r="E249" s="13">
        <v>1800</v>
      </c>
      <c r="F249" s="13">
        <v>725</v>
      </c>
      <c r="G249" s="13">
        <v>725</v>
      </c>
      <c r="H249" s="13">
        <v>565</v>
      </c>
      <c r="I249" s="13">
        <v>565</v>
      </c>
      <c r="J249" s="13">
        <v>774</v>
      </c>
      <c r="K249" s="13">
        <v>216</v>
      </c>
      <c r="L249" s="13">
        <v>603</v>
      </c>
      <c r="M249" s="13">
        <v>478</v>
      </c>
      <c r="N249" s="13">
        <v>216</v>
      </c>
      <c r="O249" s="13">
        <v>396</v>
      </c>
      <c r="P249" s="13">
        <v>44</v>
      </c>
      <c r="Q249" s="13">
        <v>2160</v>
      </c>
      <c r="R249" s="13">
        <v>1260</v>
      </c>
      <c r="S249" s="13">
        <v>150</v>
      </c>
      <c r="T249" s="13">
        <v>100</v>
      </c>
      <c r="U249" s="13" t="s">
        <v>394</v>
      </c>
    </row>
    <row r="250" spans="1:21" x14ac:dyDescent="0.25">
      <c r="A250" s="13" t="s">
        <v>448</v>
      </c>
      <c r="B250" s="13" t="s">
        <v>392</v>
      </c>
      <c r="C250" s="13" t="s">
        <v>454</v>
      </c>
      <c r="D250" s="13">
        <v>220</v>
      </c>
      <c r="E250" s="13">
        <v>2200</v>
      </c>
      <c r="F250" s="13">
        <v>765</v>
      </c>
      <c r="G250" s="13">
        <v>765</v>
      </c>
      <c r="H250" s="13">
        <v>596</v>
      </c>
      <c r="I250" s="13">
        <v>596</v>
      </c>
      <c r="J250" s="13">
        <v>846</v>
      </c>
      <c r="K250" s="13">
        <v>236</v>
      </c>
      <c r="L250" s="13">
        <v>659</v>
      </c>
      <c r="M250" s="13">
        <v>530</v>
      </c>
      <c r="N250" s="13">
        <v>236</v>
      </c>
      <c r="O250" s="13">
        <v>484</v>
      </c>
      <c r="P250" s="13">
        <v>48</v>
      </c>
      <c r="Q250" s="13">
        <v>2640</v>
      </c>
      <c r="R250" s="13">
        <v>1540</v>
      </c>
      <c r="S250" s="13">
        <v>200</v>
      </c>
      <c r="T250" s="13">
        <v>125</v>
      </c>
      <c r="U250" s="13" t="s">
        <v>394</v>
      </c>
    </row>
    <row r="251" spans="1:21" x14ac:dyDescent="0.25">
      <c r="A251" s="13" t="s">
        <v>448</v>
      </c>
      <c r="B251" s="13" t="s">
        <v>392</v>
      </c>
      <c r="C251" s="13" t="s">
        <v>455</v>
      </c>
      <c r="D251" s="13">
        <v>280</v>
      </c>
      <c r="E251" s="13">
        <v>2800</v>
      </c>
      <c r="F251" s="13">
        <v>818</v>
      </c>
      <c r="G251" s="13">
        <v>818</v>
      </c>
      <c r="H251" s="13">
        <v>638</v>
      </c>
      <c r="I251" s="13">
        <v>638</v>
      </c>
      <c r="J251" s="13">
        <v>954</v>
      </c>
      <c r="K251" s="13">
        <v>267</v>
      </c>
      <c r="L251" s="13">
        <v>744</v>
      </c>
      <c r="M251" s="13">
        <v>607</v>
      </c>
      <c r="N251" s="13">
        <v>267</v>
      </c>
      <c r="O251" s="13">
        <v>616</v>
      </c>
      <c r="P251" s="13">
        <v>55</v>
      </c>
      <c r="Q251" s="13">
        <v>3360</v>
      </c>
      <c r="R251" s="13">
        <v>1960</v>
      </c>
      <c r="S251" s="13">
        <v>200</v>
      </c>
      <c r="T251" s="13">
        <v>125</v>
      </c>
      <c r="U251" s="13" t="s">
        <v>394</v>
      </c>
    </row>
    <row r="252" spans="1:21" x14ac:dyDescent="0.25">
      <c r="A252" s="13" t="s">
        <v>448</v>
      </c>
      <c r="B252" s="13" t="s">
        <v>392</v>
      </c>
      <c r="C252" s="13" t="s">
        <v>456</v>
      </c>
      <c r="D252" s="13">
        <v>350</v>
      </c>
      <c r="E252" s="13">
        <v>3500</v>
      </c>
      <c r="F252" s="13">
        <v>873</v>
      </c>
      <c r="G252" s="13">
        <v>873</v>
      </c>
      <c r="H252" s="13">
        <v>680</v>
      </c>
      <c r="I252" s="13">
        <v>680</v>
      </c>
      <c r="J252" s="13">
        <v>1080</v>
      </c>
      <c r="K252" s="13">
        <v>302</v>
      </c>
      <c r="L252" s="13">
        <v>842</v>
      </c>
      <c r="M252" s="13">
        <v>698</v>
      </c>
      <c r="N252" s="13">
        <v>302</v>
      </c>
      <c r="O252" s="13">
        <v>770</v>
      </c>
      <c r="P252" s="13">
        <v>61</v>
      </c>
      <c r="Q252" s="13">
        <v>4200</v>
      </c>
      <c r="R252" s="13">
        <v>2450</v>
      </c>
      <c r="S252" s="13">
        <v>200</v>
      </c>
      <c r="T252" s="13">
        <v>125</v>
      </c>
      <c r="U252" s="13" t="s">
        <v>394</v>
      </c>
    </row>
    <row r="253" spans="1:21" x14ac:dyDescent="0.25">
      <c r="A253" s="13" t="s">
        <v>448</v>
      </c>
      <c r="B253" s="13" t="s">
        <v>392</v>
      </c>
      <c r="C253" s="13" t="s">
        <v>457</v>
      </c>
      <c r="D253" s="13">
        <v>450</v>
      </c>
      <c r="E253" s="13">
        <v>4500</v>
      </c>
      <c r="F253" s="13">
        <v>943</v>
      </c>
      <c r="G253" s="13">
        <v>943</v>
      </c>
      <c r="H253" s="13">
        <v>735</v>
      </c>
      <c r="I253" s="13">
        <v>735</v>
      </c>
      <c r="J253" s="13">
        <v>1260</v>
      </c>
      <c r="K253" s="13">
        <v>352</v>
      </c>
      <c r="L253" s="13">
        <v>982</v>
      </c>
      <c r="M253" s="13">
        <v>828</v>
      </c>
      <c r="N253" s="13">
        <v>352</v>
      </c>
      <c r="O253" s="13">
        <v>990</v>
      </c>
      <c r="P253" s="13">
        <v>69</v>
      </c>
      <c r="Q253" s="13">
        <v>5400</v>
      </c>
      <c r="R253" s="13">
        <v>3150</v>
      </c>
      <c r="S253" s="13">
        <v>200</v>
      </c>
      <c r="T253" s="13">
        <v>125</v>
      </c>
      <c r="U253" s="13" t="s">
        <v>394</v>
      </c>
    </row>
    <row r="254" spans="1:21" x14ac:dyDescent="0.25">
      <c r="A254" s="13" t="s">
        <v>448</v>
      </c>
      <c r="B254" s="13" t="s">
        <v>392</v>
      </c>
      <c r="C254" s="13" t="s">
        <v>458</v>
      </c>
      <c r="D254" s="13">
        <v>500</v>
      </c>
      <c r="E254" s="13">
        <v>5000</v>
      </c>
      <c r="F254" s="13">
        <v>976</v>
      </c>
      <c r="G254" s="13">
        <v>976</v>
      </c>
      <c r="H254" s="13">
        <v>761</v>
      </c>
      <c r="I254" s="13">
        <v>761</v>
      </c>
      <c r="J254" s="13">
        <v>1350</v>
      </c>
      <c r="K254" s="13">
        <v>378</v>
      </c>
      <c r="L254" s="13">
        <v>1053</v>
      </c>
      <c r="M254" s="13">
        <v>892</v>
      </c>
      <c r="N254" s="13">
        <v>378</v>
      </c>
      <c r="O254" s="13">
        <v>1100</v>
      </c>
      <c r="P254" s="13">
        <v>73</v>
      </c>
      <c r="Q254" s="13">
        <v>6000</v>
      </c>
      <c r="R254" s="13">
        <v>3500</v>
      </c>
      <c r="S254" s="13">
        <v>250</v>
      </c>
      <c r="T254" s="13">
        <v>160</v>
      </c>
      <c r="U254" s="13" t="s">
        <v>394</v>
      </c>
    </row>
    <row r="255" spans="1:21" x14ac:dyDescent="0.25">
      <c r="A255" s="13" t="s">
        <v>459</v>
      </c>
      <c r="B255" s="13" t="s">
        <v>392</v>
      </c>
      <c r="C255" s="13" t="s">
        <v>460</v>
      </c>
      <c r="D255" s="13">
        <v>50</v>
      </c>
      <c r="E255" s="13">
        <v>500</v>
      </c>
      <c r="F255" s="13">
        <v>547</v>
      </c>
      <c r="G255" s="13">
        <v>547</v>
      </c>
      <c r="H255" s="13">
        <v>426</v>
      </c>
      <c r="I255" s="13">
        <v>426</v>
      </c>
      <c r="J255" s="13">
        <v>540</v>
      </c>
      <c r="K255" s="13">
        <v>151</v>
      </c>
      <c r="L255" s="13">
        <v>421</v>
      </c>
      <c r="M255" s="13">
        <v>309</v>
      </c>
      <c r="N255" s="13">
        <v>151</v>
      </c>
      <c r="O255" s="13">
        <v>110</v>
      </c>
      <c r="P255" s="13">
        <v>23</v>
      </c>
      <c r="Q255" s="13">
        <v>600</v>
      </c>
      <c r="R255" s="13">
        <v>350</v>
      </c>
      <c r="S255" s="13">
        <v>150</v>
      </c>
      <c r="T255" s="13">
        <v>100</v>
      </c>
      <c r="U255" s="13" t="s">
        <v>394</v>
      </c>
    </row>
    <row r="256" spans="1:21" x14ac:dyDescent="0.25">
      <c r="A256" s="13" t="s">
        <v>459</v>
      </c>
      <c r="B256" s="13" t="s">
        <v>392</v>
      </c>
      <c r="C256" s="13" t="s">
        <v>461</v>
      </c>
      <c r="D256" s="13">
        <v>75</v>
      </c>
      <c r="E256" s="13">
        <v>750</v>
      </c>
      <c r="F256" s="13">
        <v>592</v>
      </c>
      <c r="G256" s="13">
        <v>592</v>
      </c>
      <c r="H256" s="13">
        <v>461</v>
      </c>
      <c r="I256" s="13">
        <v>461</v>
      </c>
      <c r="J256" s="13">
        <v>585</v>
      </c>
      <c r="K256" s="13">
        <v>163</v>
      </c>
      <c r="L256" s="13">
        <v>456</v>
      </c>
      <c r="M256" s="13">
        <v>342</v>
      </c>
      <c r="N256" s="13">
        <v>163</v>
      </c>
      <c r="O256" s="13">
        <v>165</v>
      </c>
      <c r="P256" s="13">
        <v>28</v>
      </c>
      <c r="Q256" s="13">
        <v>900</v>
      </c>
      <c r="R256" s="13">
        <v>525</v>
      </c>
      <c r="S256" s="13">
        <v>150</v>
      </c>
      <c r="T256" s="13">
        <v>100</v>
      </c>
      <c r="U256" s="13" t="s">
        <v>394</v>
      </c>
    </row>
    <row r="257" spans="1:21" x14ac:dyDescent="0.25">
      <c r="A257" s="13" t="s">
        <v>459</v>
      </c>
      <c r="B257" s="13" t="s">
        <v>392</v>
      </c>
      <c r="C257" s="13" t="s">
        <v>462</v>
      </c>
      <c r="D257" s="13">
        <v>100</v>
      </c>
      <c r="E257" s="13">
        <v>1000</v>
      </c>
      <c r="F257" s="13">
        <v>630</v>
      </c>
      <c r="G257" s="13">
        <v>630</v>
      </c>
      <c r="H257" s="13">
        <v>491</v>
      </c>
      <c r="I257" s="13">
        <v>491</v>
      </c>
      <c r="J257" s="13">
        <v>630</v>
      </c>
      <c r="K257" s="13">
        <v>176</v>
      </c>
      <c r="L257" s="13">
        <v>491</v>
      </c>
      <c r="M257" s="13">
        <v>374</v>
      </c>
      <c r="N257" s="13">
        <v>176</v>
      </c>
      <c r="O257" s="13">
        <v>220</v>
      </c>
      <c r="P257" s="13">
        <v>33</v>
      </c>
      <c r="Q257" s="13">
        <v>1200</v>
      </c>
      <c r="R257" s="13">
        <v>700</v>
      </c>
      <c r="S257" s="13">
        <v>150</v>
      </c>
      <c r="T257" s="13">
        <v>100</v>
      </c>
      <c r="U257" s="13" t="s">
        <v>394</v>
      </c>
    </row>
    <row r="258" spans="1:21" x14ac:dyDescent="0.25">
      <c r="A258" s="13" t="s">
        <v>459</v>
      </c>
      <c r="B258" s="13" t="s">
        <v>392</v>
      </c>
      <c r="C258" s="13" t="s">
        <v>463</v>
      </c>
      <c r="D258" s="13">
        <v>130</v>
      </c>
      <c r="E258" s="13">
        <v>1300</v>
      </c>
      <c r="F258" s="13">
        <v>669</v>
      </c>
      <c r="G258" s="13">
        <v>669</v>
      </c>
      <c r="H258" s="13">
        <v>521</v>
      </c>
      <c r="I258" s="13">
        <v>521</v>
      </c>
      <c r="J258" s="13">
        <v>684</v>
      </c>
      <c r="K258" s="13">
        <v>191</v>
      </c>
      <c r="L258" s="13">
        <v>533</v>
      </c>
      <c r="M258" s="13">
        <v>413</v>
      </c>
      <c r="N258" s="13">
        <v>191</v>
      </c>
      <c r="O258" s="13">
        <v>286</v>
      </c>
      <c r="P258" s="13">
        <v>37</v>
      </c>
      <c r="Q258" s="13">
        <v>1560</v>
      </c>
      <c r="R258" s="13">
        <v>910</v>
      </c>
      <c r="S258" s="13">
        <v>150</v>
      </c>
      <c r="T258" s="13">
        <v>100</v>
      </c>
      <c r="U258" s="13" t="s">
        <v>394</v>
      </c>
    </row>
    <row r="259" spans="1:21" x14ac:dyDescent="0.25">
      <c r="A259" s="13" t="s">
        <v>459</v>
      </c>
      <c r="B259" s="13" t="s">
        <v>392</v>
      </c>
      <c r="C259" s="13" t="s">
        <v>464</v>
      </c>
      <c r="D259" s="13">
        <v>180</v>
      </c>
      <c r="E259" s="13">
        <v>1800</v>
      </c>
      <c r="F259" s="13">
        <v>725</v>
      </c>
      <c r="G259" s="13">
        <v>725</v>
      </c>
      <c r="H259" s="13">
        <v>565</v>
      </c>
      <c r="I259" s="13">
        <v>565</v>
      </c>
      <c r="J259" s="13">
        <v>774</v>
      </c>
      <c r="K259" s="13">
        <v>216</v>
      </c>
      <c r="L259" s="13">
        <v>603</v>
      </c>
      <c r="M259" s="13">
        <v>478</v>
      </c>
      <c r="N259" s="13">
        <v>216</v>
      </c>
      <c r="O259" s="13">
        <v>396</v>
      </c>
      <c r="P259" s="13">
        <v>44</v>
      </c>
      <c r="Q259" s="13">
        <v>2160</v>
      </c>
      <c r="R259" s="13">
        <v>1260</v>
      </c>
      <c r="S259" s="13">
        <v>150</v>
      </c>
      <c r="T259" s="13">
        <v>100</v>
      </c>
      <c r="U259" s="13" t="s">
        <v>394</v>
      </c>
    </row>
    <row r="260" spans="1:21" x14ac:dyDescent="0.25">
      <c r="A260" s="13" t="s">
        <v>459</v>
      </c>
      <c r="B260" s="13" t="s">
        <v>392</v>
      </c>
      <c r="C260" s="13" t="s">
        <v>465</v>
      </c>
      <c r="D260" s="13">
        <v>230</v>
      </c>
      <c r="E260" s="13">
        <v>2300</v>
      </c>
      <c r="F260" s="13">
        <v>774</v>
      </c>
      <c r="G260" s="13">
        <v>774</v>
      </c>
      <c r="H260" s="13">
        <v>603</v>
      </c>
      <c r="I260" s="13">
        <v>603</v>
      </c>
      <c r="J260" s="13">
        <v>864</v>
      </c>
      <c r="K260" s="13">
        <v>241</v>
      </c>
      <c r="L260" s="13">
        <v>673</v>
      </c>
      <c r="M260" s="13">
        <v>543</v>
      </c>
      <c r="N260" s="13">
        <v>241</v>
      </c>
      <c r="O260" s="13">
        <v>506</v>
      </c>
      <c r="P260" s="13">
        <v>49</v>
      </c>
      <c r="Q260" s="13">
        <v>2760</v>
      </c>
      <c r="R260" s="13">
        <v>1610</v>
      </c>
      <c r="S260" s="13">
        <v>200</v>
      </c>
      <c r="T260" s="13">
        <v>125</v>
      </c>
      <c r="U260" s="13" t="s">
        <v>394</v>
      </c>
    </row>
    <row r="261" spans="1:21" x14ac:dyDescent="0.25">
      <c r="A261" s="13" t="s">
        <v>459</v>
      </c>
      <c r="B261" s="13" t="s">
        <v>392</v>
      </c>
      <c r="C261" s="13" t="s">
        <v>466</v>
      </c>
      <c r="D261" s="13">
        <v>280</v>
      </c>
      <c r="E261" s="13">
        <v>2800</v>
      </c>
      <c r="F261" s="13">
        <v>818</v>
      </c>
      <c r="G261" s="13">
        <v>818</v>
      </c>
      <c r="H261" s="13">
        <v>638</v>
      </c>
      <c r="I261" s="13">
        <v>638</v>
      </c>
      <c r="J261" s="13">
        <v>954</v>
      </c>
      <c r="K261" s="13">
        <v>267</v>
      </c>
      <c r="L261" s="13">
        <v>744</v>
      </c>
      <c r="M261" s="13">
        <v>607</v>
      </c>
      <c r="N261" s="13">
        <v>267</v>
      </c>
      <c r="O261" s="13">
        <v>616</v>
      </c>
      <c r="P261" s="13">
        <v>55</v>
      </c>
      <c r="Q261" s="13">
        <v>3360</v>
      </c>
      <c r="R261" s="13">
        <v>1960</v>
      </c>
      <c r="S261" s="13">
        <v>200</v>
      </c>
      <c r="T261" s="13">
        <v>125</v>
      </c>
      <c r="U261" s="13" t="s">
        <v>394</v>
      </c>
    </row>
    <row r="262" spans="1:21" x14ac:dyDescent="0.25">
      <c r="A262" s="13" t="s">
        <v>459</v>
      </c>
      <c r="B262" s="13" t="s">
        <v>392</v>
      </c>
      <c r="C262" s="13" t="s">
        <v>467</v>
      </c>
      <c r="D262" s="13">
        <v>350</v>
      </c>
      <c r="E262" s="13">
        <v>3500</v>
      </c>
      <c r="F262" s="13">
        <v>873</v>
      </c>
      <c r="G262" s="13">
        <v>873</v>
      </c>
      <c r="H262" s="13">
        <v>680</v>
      </c>
      <c r="I262" s="13">
        <v>680</v>
      </c>
      <c r="J262" s="13">
        <v>1080</v>
      </c>
      <c r="K262" s="13">
        <v>302</v>
      </c>
      <c r="L262" s="13">
        <v>842</v>
      </c>
      <c r="M262" s="13">
        <v>698</v>
      </c>
      <c r="N262" s="13">
        <v>302</v>
      </c>
      <c r="O262" s="13">
        <v>770</v>
      </c>
      <c r="P262" s="13">
        <v>61</v>
      </c>
      <c r="Q262" s="13">
        <v>4200</v>
      </c>
      <c r="R262" s="13">
        <v>2450</v>
      </c>
      <c r="S262" s="13">
        <v>200</v>
      </c>
      <c r="T262" s="13">
        <v>125</v>
      </c>
      <c r="U262" s="13" t="s">
        <v>394</v>
      </c>
    </row>
    <row r="263" spans="1:21" x14ac:dyDescent="0.25">
      <c r="A263" s="13" t="s">
        <v>459</v>
      </c>
      <c r="B263" s="13" t="s">
        <v>392</v>
      </c>
      <c r="C263" s="13" t="s">
        <v>468</v>
      </c>
      <c r="D263" s="13">
        <v>450</v>
      </c>
      <c r="E263" s="13">
        <v>4500</v>
      </c>
      <c r="F263" s="13">
        <v>943</v>
      </c>
      <c r="G263" s="13">
        <v>943</v>
      </c>
      <c r="H263" s="13">
        <v>735</v>
      </c>
      <c r="I263" s="13">
        <v>735</v>
      </c>
      <c r="J263" s="13">
        <v>1260</v>
      </c>
      <c r="K263" s="13">
        <v>352</v>
      </c>
      <c r="L263" s="13">
        <v>982</v>
      </c>
      <c r="M263" s="13">
        <v>828</v>
      </c>
      <c r="N263" s="13">
        <v>352</v>
      </c>
      <c r="O263" s="13">
        <v>990</v>
      </c>
      <c r="P263" s="13">
        <v>69</v>
      </c>
      <c r="Q263" s="13">
        <v>5400</v>
      </c>
      <c r="R263" s="13">
        <v>3150</v>
      </c>
      <c r="S263" s="13">
        <v>200</v>
      </c>
      <c r="T263" s="13">
        <v>125</v>
      </c>
      <c r="U263" s="13" t="s">
        <v>394</v>
      </c>
    </row>
    <row r="264" spans="1:21" x14ac:dyDescent="0.25">
      <c r="A264" s="13" t="s">
        <v>459</v>
      </c>
      <c r="B264" s="13" t="s">
        <v>392</v>
      </c>
      <c r="C264" s="13" t="s">
        <v>469</v>
      </c>
      <c r="D264" s="13">
        <v>550</v>
      </c>
      <c r="E264" s="13">
        <v>5500</v>
      </c>
      <c r="F264" s="13">
        <v>1006</v>
      </c>
      <c r="G264" s="13">
        <v>1006</v>
      </c>
      <c r="H264" s="13">
        <v>784</v>
      </c>
      <c r="I264" s="13">
        <v>784</v>
      </c>
      <c r="J264" s="13">
        <v>1440</v>
      </c>
      <c r="K264" s="13">
        <v>403</v>
      </c>
      <c r="L264" s="13">
        <v>1123</v>
      </c>
      <c r="M264" s="13">
        <v>957</v>
      </c>
      <c r="N264" s="13">
        <v>403</v>
      </c>
      <c r="O264" s="13">
        <v>1210</v>
      </c>
      <c r="P264" s="13">
        <v>77</v>
      </c>
      <c r="Q264" s="13">
        <v>6600</v>
      </c>
      <c r="R264" s="13">
        <v>3850</v>
      </c>
      <c r="S264" s="13">
        <v>250</v>
      </c>
      <c r="T264" s="13">
        <v>160</v>
      </c>
      <c r="U264" s="13" t="s">
        <v>394</v>
      </c>
    </row>
  </sheetData>
  <sortState xmlns:xlrd2="http://schemas.microsoft.com/office/spreadsheetml/2017/richdata2" ref="A3:U193">
    <sortCondition ref="A3:A193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5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6" t="s">
        <v>343</v>
      </c>
      <c r="C1" s="7" t="s">
        <v>306</v>
      </c>
      <c r="D1" s="7" t="s">
        <v>316</v>
      </c>
      <c r="E1" s="6" t="s">
        <v>342</v>
      </c>
    </row>
    <row r="2" spans="2:5" x14ac:dyDescent="0.25">
      <c r="B2" s="5" t="s">
        <v>299</v>
      </c>
      <c r="C2" t="s">
        <v>300</v>
      </c>
    </row>
    <row r="3" spans="2:5" x14ac:dyDescent="0.25">
      <c r="B3" s="5" t="s">
        <v>301</v>
      </c>
      <c r="C3" t="s">
        <v>302</v>
      </c>
    </row>
    <row r="4" spans="2:5" x14ac:dyDescent="0.25">
      <c r="B4" s="5" t="s">
        <v>303</v>
      </c>
      <c r="C4" t="s">
        <v>304</v>
      </c>
    </row>
    <row r="6" spans="2:5" x14ac:dyDescent="0.25">
      <c r="B6" s="5" t="s">
        <v>305</v>
      </c>
      <c r="C6" t="s">
        <v>307</v>
      </c>
    </row>
    <row r="7" spans="2:5" x14ac:dyDescent="0.25">
      <c r="B7" s="5" t="s">
        <v>308</v>
      </c>
      <c r="C7" t="s">
        <v>309</v>
      </c>
    </row>
    <row r="9" spans="2:5" x14ac:dyDescent="0.25">
      <c r="B9" s="5" t="s">
        <v>310</v>
      </c>
      <c r="C9" t="s">
        <v>311</v>
      </c>
    </row>
    <row r="12" spans="2:5" x14ac:dyDescent="0.25">
      <c r="B12" s="5" t="s">
        <v>312</v>
      </c>
      <c r="C12" t="s">
        <v>313</v>
      </c>
    </row>
    <row r="14" spans="2:5" x14ac:dyDescent="0.25">
      <c r="B14" s="5" t="s">
        <v>314</v>
      </c>
    </row>
    <row r="18" spans="2:5" x14ac:dyDescent="0.25">
      <c r="B18" s="5" t="s">
        <v>315</v>
      </c>
      <c r="D18" t="s">
        <v>4</v>
      </c>
      <c r="E18" t="s">
        <v>339</v>
      </c>
    </row>
    <row r="19" spans="2:5" x14ac:dyDescent="0.25">
      <c r="B19" s="5" t="s">
        <v>318</v>
      </c>
      <c r="D19" t="s">
        <v>5</v>
      </c>
      <c r="E19" t="s">
        <v>340</v>
      </c>
    </row>
    <row r="21" spans="2:5" x14ac:dyDescent="0.25">
      <c r="B21" s="5" t="s">
        <v>317</v>
      </c>
      <c r="D21" t="s">
        <v>7</v>
      </c>
    </row>
    <row r="23" spans="2:5" x14ac:dyDescent="0.25">
      <c r="B23" s="5" t="s">
        <v>319</v>
      </c>
      <c r="D23" t="s">
        <v>9</v>
      </c>
    </row>
    <row r="25" spans="2:5" x14ac:dyDescent="0.25">
      <c r="B25" s="5" t="s">
        <v>320</v>
      </c>
      <c r="D25" t="s">
        <v>8</v>
      </c>
      <c r="E25" t="s">
        <v>341</v>
      </c>
    </row>
    <row r="27" spans="2:5" x14ac:dyDescent="0.25">
      <c r="B27" s="5" t="s">
        <v>321</v>
      </c>
      <c r="D27" t="s">
        <v>3</v>
      </c>
    </row>
    <row r="29" spans="2:5" x14ac:dyDescent="0.25">
      <c r="B29" s="5" t="s">
        <v>322</v>
      </c>
      <c r="D29" t="s">
        <v>13</v>
      </c>
    </row>
    <row r="30" spans="2:5" x14ac:dyDescent="0.25">
      <c r="B30" s="5" t="s">
        <v>323</v>
      </c>
      <c r="D30" t="s">
        <v>324</v>
      </c>
    </row>
    <row r="32" spans="2:5" x14ac:dyDescent="0.25">
      <c r="B32" s="5" t="s">
        <v>344</v>
      </c>
      <c r="E32" t="s">
        <v>345</v>
      </c>
    </row>
    <row r="33" spans="2:3" x14ac:dyDescent="0.25">
      <c r="B33" s="5" t="s">
        <v>346</v>
      </c>
      <c r="C33" s="5" t="s">
        <v>310</v>
      </c>
    </row>
    <row r="35" spans="2:3" x14ac:dyDescent="0.25">
      <c r="B35" s="5" t="s">
        <v>337</v>
      </c>
      <c r="C35" t="s">
        <v>338</v>
      </c>
    </row>
    <row r="36" spans="2:3" s="2" customFormat="1" x14ac:dyDescent="0.25">
      <c r="B36" s="5"/>
    </row>
    <row r="37" spans="2:3" s="2" customFormat="1" x14ac:dyDescent="0.25">
      <c r="B37" s="5"/>
    </row>
    <row r="38" spans="2:3" s="2" customFormat="1" x14ac:dyDescent="0.25">
      <c r="B38" s="5"/>
    </row>
    <row r="39" spans="2:3" s="2" customFormat="1" x14ac:dyDescent="0.25">
      <c r="B39" s="5"/>
    </row>
    <row r="40" spans="2:3" s="2" customFormat="1" x14ac:dyDescent="0.25">
      <c r="B40" s="5"/>
    </row>
    <row r="41" spans="2:3" s="2" customFormat="1" x14ac:dyDescent="0.25">
      <c r="B41" s="5"/>
    </row>
    <row r="42" spans="2:3" s="2" customFormat="1" x14ac:dyDescent="0.25">
      <c r="B42" s="5"/>
    </row>
    <row r="43" spans="2:3" s="2" customFormat="1" x14ac:dyDescent="0.25">
      <c r="B43" s="5"/>
    </row>
    <row r="44" spans="2:3" s="2" customFormat="1" x14ac:dyDescent="0.25">
      <c r="B44" s="5"/>
    </row>
    <row r="45" spans="2:3" s="2" customFormat="1" x14ac:dyDescent="0.25">
      <c r="B45" s="5"/>
    </row>
    <row r="46" spans="2:3" s="2" customFormat="1" x14ac:dyDescent="0.25">
      <c r="B46" s="5"/>
    </row>
    <row r="47" spans="2:3" s="2" customFormat="1" x14ac:dyDescent="0.25">
      <c r="B47" s="5"/>
    </row>
    <row r="48" spans="2:3" x14ac:dyDescent="0.25">
      <c r="B48" s="5" t="s">
        <v>325</v>
      </c>
    </row>
    <row r="49" spans="2:2" x14ac:dyDescent="0.25">
      <c r="B49" s="5" t="s">
        <v>326</v>
      </c>
    </row>
    <row r="50" spans="2:2" x14ac:dyDescent="0.25">
      <c r="B50" s="5" t="s">
        <v>327</v>
      </c>
    </row>
    <row r="51" spans="2:2" x14ac:dyDescent="0.25">
      <c r="B51" s="5" t="s">
        <v>328</v>
      </c>
    </row>
    <row r="52" spans="2:2" x14ac:dyDescent="0.25">
      <c r="B52" s="5" t="s">
        <v>329</v>
      </c>
    </row>
    <row r="53" spans="2:2" x14ac:dyDescent="0.25">
      <c r="B53" s="5" t="s">
        <v>330</v>
      </c>
    </row>
    <row r="54" spans="2:2" x14ac:dyDescent="0.25">
      <c r="B54" s="5" t="s">
        <v>331</v>
      </c>
    </row>
    <row r="55" spans="2:2" x14ac:dyDescent="0.25">
      <c r="B55" s="5" t="s">
        <v>332</v>
      </c>
    </row>
    <row r="56" spans="2:2" x14ac:dyDescent="0.25">
      <c r="B56" s="5" t="s">
        <v>333</v>
      </c>
    </row>
    <row r="57" spans="2:2" x14ac:dyDescent="0.25">
      <c r="B57" s="5" t="s">
        <v>334</v>
      </c>
    </row>
    <row r="58" spans="2:2" x14ac:dyDescent="0.25">
      <c r="B58" s="5" t="s">
        <v>335</v>
      </c>
    </row>
    <row r="59" spans="2:2" x14ac:dyDescent="0.25">
      <c r="B59" s="5" t="s">
        <v>336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2026-06-29T14:04:45Z</dcterms:modified>
</cp:coreProperties>
</file>